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 level" sheetId="1" r:id="rId5"/>
    <sheet state="visible" name="Weapon upgrade Spirhalite costs" sheetId="2" r:id="rId6"/>
    <sheet state="visible" name="Weapon damage values" sheetId="3" r:id="rId7"/>
    <sheet state="visible" name="(or sorted)" sheetId="4" r:id="rId8"/>
    <sheet state="visible" name="weapon factor test" sheetId="5" r:id="rId9"/>
    <sheet state="visible" name="Weapon list" sheetId="6" r:id="rId10"/>
    <sheet state="visible" name="drop rates" sheetId="7" r:id="rId11"/>
  </sheets>
  <definedNames/>
  <calcPr/>
</workbook>
</file>

<file path=xl/sharedStrings.xml><?xml version="1.0" encoding="utf-8"?>
<sst xmlns="http://schemas.openxmlformats.org/spreadsheetml/2006/main" count="1051" uniqueCount="366">
  <si>
    <t>Level</t>
  </si>
  <si>
    <t>Spirhalite shard level-up costs (cumulative +1 to +N)</t>
  </si>
  <si>
    <t>You can pay Spirhalite shards in order to power up weapons. For example, upgrading a level 30 weapon 5 times will show "30 +5".</t>
  </si>
  <si>
    <t>These are effectively weapon level-ups: a (say) level 30 +5 weapon will have identical damage stats to a level 35 weapon.</t>
  </si>
  <si>
    <t>4-star weapons and below are limited to +5 power-ups;</t>
  </si>
  <si>
    <t>5-star weapons can be powered up to 100 (albeit only +10 at a time), and in addition to the Spirhalite shards it also costs N Spirhalite Gems per (Nx10)th power-up.</t>
  </si>
  <si>
    <t>Each successive power-up's cost is the same multiple (x1.05) of the previous individual power-up's cost, so the cost of the first level-up is the main point of interest.</t>
  </si>
  <si>
    <t>If you instead want individual power-up costs instead of cumulative/total costs (or a more readable vertical table for level 50 weapons), see below.</t>
  </si>
  <si>
    <t>base HP</t>
  </si>
  <si>
    <t>DMG</t>
  </si>
  <si>
    <t>EXP to next</t>
  </si>
  <si>
    <t>displayed HP</t>
  </si>
  <si>
    <t>tank</t>
  </si>
  <si>
    <t>adjusted</t>
  </si>
  <si>
    <t>compared to previous level...</t>
  </si>
  <si>
    <t>by Delpolo</t>
  </si>
  <si>
    <t>.</t>
  </si>
  <si>
    <t>HP mult</t>
  </si>
  <si>
    <t>DMG mult</t>
  </si>
  <si>
    <t>EXP mult</t>
  </si>
  <si>
    <t>Every time the player levels up, their base HP and Damage values increase,</t>
  </si>
  <si>
    <t>and (up to level 50) they get a skill point (spent to upgrade their stats even more).</t>
  </si>
  <si>
    <t>The damage value displayed on level-up is not affected by the skill point upgrades, but the HP value is...</t>
  </si>
  <si>
    <t>upgraded HP by +20% to 140</t>
  </si>
  <si>
    <t>As you can see, apart from the first few levels (up to 3? for HP, up to 3 for damage, up to 2 for EXP),</t>
  </si>
  <si>
    <t>then another +20% to169</t>
  </si>
  <si>
    <t>each value is a fixed multiple of the previous level's value (around 31/30 for HP, 1.08 for damage, 1.08 for EXP apart from level 30),</t>
  </si>
  <si>
    <t>then another +20% to 200</t>
  </si>
  <si>
    <t>up to the softcap level 50 (which has higher multipliers in order to end on nice, round numbers).</t>
  </si>
  <si>
    <t>then +20% HP to 282</t>
  </si>
  <si>
    <t>then +40% HP to 356</t>
  </si>
  <si>
    <t>Splattershot Jr. – Shot</t>
  </si>
  <si>
    <t>Splattershot – Shot</t>
  </si>
  <si>
    <t>Splat Brella – Single shot</t>
  </si>
  <si>
    <t>Mini Splatling – Shot</t>
  </si>
  <si>
    <t>Splat Dualies – Shot</t>
  </si>
  <si>
    <t>Octobrush – Inking on the go</t>
  </si>
  <si>
    <t>Tri-Stringer – Explosion</t>
  </si>
  <si>
    <t>Heavy Splatling – Shot</t>
  </si>
  <si>
    <t>E-liter – Minimum charge</t>
  </si>
  <si>
    <t>Squiffer – Minimum charge</t>
  </si>
  <si>
    <t>Tenta Brella – Single shot</t>
  </si>
  <si>
    <t>Squelcher – Shot</t>
  </si>
  <si>
    <t>Glooga Dualies – Pre-Dodge Roll</t>
  </si>
  <si>
    <t>Octobrush – Brush swing</t>
  </si>
  <si>
    <t>Glooga Dualies – Post-Dodge Roll</t>
  </si>
  <si>
    <t>Rapid Blaster Pro – Explosion</t>
  </si>
  <si>
    <t>Splatana Stamper – Horizontal slash</t>
  </si>
  <si>
    <t>Blaster – Explosion (min)</t>
  </si>
  <si>
    <t>Splat Roller – Inkling on the go</t>
  </si>
  <si>
    <t>Sloshing Machine - Explosion</t>
  </si>
  <si>
    <t>Tri-Sringer – Full charge</t>
  </si>
  <si>
    <t>Splat Roller – Horizontal swing</t>
  </si>
  <si>
    <t>Splat Brella – Launched brella</t>
  </si>
  <si>
    <t>Blaster – Explosion (max)</t>
  </si>
  <si>
    <t>Slosher – Single slosh</t>
  </si>
  <si>
    <t>Splat Brella – All shots hit</t>
  </si>
  <si>
    <t>Rapid Blaster Pro – Direct hit</t>
  </si>
  <si>
    <t>Splatana Stamper – Charged slash</t>
  </si>
  <si>
    <t>Splat Roller – Vertical swing</t>
  </si>
  <si>
    <t>Sloshing Machine – Direct hit</t>
  </si>
  <si>
    <t>Blaster – Direct hit</t>
  </si>
  <si>
    <t>Splatana Stamper – Charged slash (direct hit)</t>
  </si>
  <si>
    <t>Dynamo Roller – Horizontal swing</t>
  </si>
  <si>
    <t>then +20% more HP</t>
  </si>
  <si>
    <t>Squiffer – Full charge</t>
  </si>
  <si>
    <t>Tenta Brella – Launched brella</t>
  </si>
  <si>
    <t>Dynamo Roller – Vertical swing</t>
  </si>
  <si>
    <t>Tenta Brella – All shots hit</t>
  </si>
  <si>
    <t>Dynamo Roller – Inkling on the go</t>
  </si>
  <si>
    <t>E-liter – Full charge</t>
  </si>
  <si>
    <t>Assuming the player-dmg-to-weapon-dmg multiplier for E-liter is</t>
  </si>
  <si>
    <t>(see next tab)</t>
  </si>
  <si>
    <t>Factor</t>
  </si>
  <si>
    <t>then we can divide E-liter full charge damage by 5.4 to get the pre-weapon-factor damage (which is PlayerDamage + InnateWeaponDamage), and then subtract 4500 player damage to get the true base weapon damage values.</t>
  </si>
  <si>
    <t>then +40% more HP</t>
  </si>
  <si>
    <t>then +20%</t>
  </si>
  <si>
    <t xml:space="preserve"> - 4500 = </t>
  </si>
  <si>
    <t>dmg mult from prev level</t>
  </si>
  <si>
    <t>then +60% to 1274</t>
  </si>
  <si>
    <t>Since all weapons use the same curve, here are extrapolated E-liter damage values using the next-highest damage value available (highlighted in yellow):</t>
  </si>
  <si>
    <t>Plastic-Bottle Splattershot</t>
  </si>
  <si>
    <t>Water-Wing Splattershot Jr.</t>
  </si>
  <si>
    <t>Jam Squelcher</t>
  </si>
  <si>
    <t>Balloon Roller</t>
  </si>
  <si>
    <t>Duct Roller</t>
  </si>
  <si>
    <t>Diesel 4K</t>
  </si>
  <si>
    <t>Detergent Charger</t>
  </si>
  <si>
    <t>Polyethylene Slosher</t>
  </si>
  <si>
    <t>Oil-Drum Pow Slosher</t>
  </si>
  <si>
    <t>LPG Splatling</t>
  </si>
  <si>
    <t>Gas-Can Splatling</t>
  </si>
  <si>
    <t>Diner Dualies</t>
  </si>
  <si>
    <t>Aluminum Twincans</t>
  </si>
  <si>
    <t>As such, weapons' true base damage values also get multiplied by x1.08 every level (from 5 to 50),</t>
  </si>
  <si>
    <t>Palm Brella</t>
  </si>
  <si>
    <t>Tarp Brella</t>
  </si>
  <si>
    <t>Oil Blaster</t>
  </si>
  <si>
    <t>Toy-Claw Blaster</t>
  </si>
  <si>
    <t>Cycle Brush</t>
  </si>
  <si>
    <t>Bamboo Stringer</t>
  </si>
  <si>
    <t>Wooden Splatana</t>
  </si>
  <si>
    <t>Soap-Bottle Splattershot</t>
  </si>
  <si>
    <t>Flamingo Splattershot Jr.</t>
  </si>
  <si>
    <t>Perfume Squelcher</t>
  </si>
  <si>
    <t>Shrimp Roller</t>
  </si>
  <si>
    <t>Turbine Roller</t>
  </si>
  <si>
    <t>Unleaded 4K</t>
  </si>
  <si>
    <t>Cleaner Charger</t>
  </si>
  <si>
    <t>Sand Slosher</t>
  </si>
  <si>
    <t>Shichirin Pow Slosher</t>
  </si>
  <si>
    <t>ABC Splatling</t>
  </si>
  <si>
    <t>Buoy Splatling</t>
  </si>
  <si>
    <t>Sippy-Cup Dualies</t>
  </si>
  <si>
    <t>Steel Twincans</t>
  </si>
  <si>
    <t>Flower Brella</t>
  </si>
  <si>
    <t>Food-Stall Brella</t>
  </si>
  <si>
    <t>Steam Blaster</t>
  </si>
  <si>
    <t>just like with player damage values... and then above 50 it's instead x1.025.</t>
  </si>
  <si>
    <t>Toy-Horn Blaster</t>
  </si>
  <si>
    <t>Pulley Brush</t>
  </si>
  <si>
    <t>Racket Stringer</t>
  </si>
  <si>
    <t>Plastic Splatana</t>
  </si>
  <si>
    <t>Glass-Bottle Splattershot</t>
  </si>
  <si>
    <t>Lifeguard Splattershot Jr.</t>
  </si>
  <si>
    <t>Olive-Oil Squelcher</t>
  </si>
  <si>
    <t>Inner-Tube Roller</t>
  </si>
  <si>
    <t>Engine Roller</t>
  </si>
  <si>
    <t>then +20% to 1687</t>
  </si>
  <si>
    <t>High-Octane 4K</t>
  </si>
  <si>
    <t>Bleach Charger</t>
  </si>
  <si>
    <t>Camo Slosher</t>
  </si>
  <si>
    <t>Clay-Pot Pow Slosher</t>
  </si>
  <si>
    <t>LN2 Splatling</t>
  </si>
  <si>
    <t>then +20% to 1836</t>
  </si>
  <si>
    <t>Water-Jug Splatling</t>
  </si>
  <si>
    <t>Sport-Bottle Dualies</t>
  </si>
  <si>
    <t>Titanium Twincans</t>
  </si>
  <si>
    <t>Fruit Brella</t>
  </si>
  <si>
    <t>then +20% to 1990</t>
  </si>
  <si>
    <t>Thermal Brella</t>
  </si>
  <si>
    <t>Butane Blaster</t>
  </si>
  <si>
    <t>Toy-Shark Blaster</t>
  </si>
  <si>
    <t>Touring Brush</t>
  </si>
  <si>
    <t>Alpine Stringer</t>
  </si>
  <si>
    <t>Rail Splatana</t>
  </si>
  <si>
    <t>then +80% to 2502</t>
  </si>
  <si>
    <t>Sloshing Machine – Explosion</t>
  </si>
  <si>
    <t>Once you reach player level 50, the number becomes yellow, and additional level-ups are instead marked as</t>
  </si>
  <si>
    <t>Tri-Stringer – Minimum charge</t>
  </si>
  <si>
    <t>"50 +1", "50 +2", and so on, and befitting of the difference in notation these level-ups are completely different.</t>
  </si>
  <si>
    <t xml:space="preserve"> </t>
  </si>
  <si>
    <t>Now every level adds a fixed 0.5 base HP (rounded down) and 2 damage, and takes a constant 400,000 EXP, up to 50+999.</t>
  </si>
  <si>
    <t>Because of this, additional levels do nearly nothing to make you stronger, and are moreso a marker of how much you've played.</t>
  </si>
  <si>
    <t>...</t>
  </si>
  <si>
    <t>Spirhalite shard level-up costs (individual +N)</t>
  </si>
  <si>
    <t>Since each successive upgrade costs x1.05 the previous one (rounding notwithstanding), you can also estimate the cumulative cost with the geometric series function:</t>
  </si>
  <si>
    <t>Weapons' displayed damage values increase with player level and skill point tank-upgrade weapon damage, not just weapon level;</t>
  </si>
  <si>
    <t>the values listed here are specifically for a level 50 player (4500 player damage) with +200% weapon damage (though the above scaling factors do not include this x3).</t>
  </si>
  <si>
    <t>Comparing all weapons' damage (see chart to right) shows that they all have the same curve, just with a weapon-specific scaling factor.</t>
  </si>
  <si>
    <t>or for just level 50 weapons:</t>
  </si>
  <si>
    <t>Upgrade #</t>
  </si>
  <si>
    <t>Individual / Cumulative cost</t>
  </si>
  <si>
    <t>Cost ≈</t>
  </si>
  <si>
    <t>3500 x (1 - 1.05^N) / (1 - 1.05)</t>
  </si>
  <si>
    <t>+1 gem</t>
  </si>
  <si>
    <t>+2 gems</t>
  </si>
  <si>
    <t>+3 gems</t>
  </si>
  <si>
    <t>+4 gems</t>
  </si>
  <si>
    <t>Alternatively, here's weapon data for a level 50+100 player, still with +200% weapon damage, ranging from weapon level 50 to 100.</t>
  </si>
  <si>
    <t>multiplied by:</t>
  </si>
  <si>
    <t>+5 gems</t>
  </si>
  <si>
    <t>E-liter full charge damage (based on weapon level and player damage)</t>
  </si>
  <si>
    <t>Wep level</t>
  </si>
  <si>
    <t>so damage increase divided by player damage increase:</t>
  </si>
  <si>
    <t>(I didn't have a set of weapons at +10, +20, etc. to actually figure this out,</t>
  </si>
  <si>
    <t>but based on my current +42 splatling the x1.025 trend continues all the way to +49, then +50 is larger to land just shy of 35000.)</t>
  </si>
  <si>
    <t>and the average increase:</t>
  </si>
  <si>
    <t>There are two things to note here:</t>
  </si>
  <si>
    <t>- despite increasing player damage by (say) +40, i.e. from 4500 to 4540, displayed weapon damage does NOT increase by a factor of 4540/4500, so it's not a multiplicative factor:</t>
  </si>
  <si>
    <t xml:space="preserve">4540/4500 = </t>
  </si>
  <si>
    <t>78809/78593 =</t>
  </si>
  <si>
    <t>- increasing player damage increases ANY LEVEL's weapon damage (for a given weapon) by the same flat amount, regardless of the weapon's level;</t>
  </si>
  <si>
    <t>for example, going from 4500 to 4540 player damage results in the same +216 displayed weapon damage, for all E-liter levels from 50 to 60.</t>
  </si>
  <si>
    <t>This seems to imply that displayed weapon damage is actually the sum of player damage (increased by player level) plus weapon base damage (increased by weapon level) multiplied by the weapon's scaling factor!</t>
  </si>
  <si>
    <t>Per the weapon stats tab, every single weapon has the same damage-per-level curve, for example at equal levels E-Liter's full charge damage is always 12 times a minimal-charge tap, and 20 times a Splattershot Jr's damage,</t>
  </si>
  <si>
    <t>so increasing player damage by a given amount and then seeing the difference in displayed weapon damage allows you to calculate said weapon-specific damage scaling factor.</t>
  </si>
  <si>
    <t>In this case, +40 player damage results in +216 E-liter full-charge damage, i.e. the E-liter has a multiplier of 216/40 = 5.4.</t>
  </si>
  <si>
    <t>Taking the 78593 level-50 player level-50 E-liter displayed damage value, you can divide by 5.4 to get the generic weapon damage value of</t>
  </si>
  <si>
    <t>and then you can subtract the player's damage value in order to get any level 50 weapon's innate weapon damage:</t>
  </si>
  <si>
    <t>You can do this for any weapon level (see the sorted weapon damage values tab); calculating how true weapon damage values grow with level leads to a multiplier of x1.08, just like for player damage.</t>
  </si>
  <si>
    <t>There are 120 weapons total (60 base, 60 Primo);</t>
  </si>
  <si>
    <t xml:space="preserve">  </t>
  </si>
  <si>
    <t>each weapon trio shares the same damage values, but varies in other ways, such as ink efficiency, range, shooting speed, etc.</t>
  </si>
  <si>
    <t>(with Primo variants also having the same damage but even more extreme specialties).</t>
  </si>
  <si>
    <t>/</t>
  </si>
  <si>
    <t>Balanced shooter optimized for [max] ink efficiency</t>
  </si>
  <si>
    <t>Splattershot</t>
  </si>
  <si>
    <t>Balanced shooter optimized for [max] range and ink coverage.</t>
  </si>
  <si>
    <t>\</t>
  </si>
  <si>
    <t>Balanced shooter optimized for [max] rate of fire.</t>
  </si>
  <si>
    <t>Nimble shooter optimized for [max] ink efficiency.</t>
  </si>
  <si>
    <t>Splattershot Jr.</t>
  </si>
  <si>
    <t>Nimble shooter optimized for [max] range and ink coverage.</t>
  </si>
  <si>
    <t>Nimble shooter optimized for [max] rate of fire.</t>
  </si>
  <si>
    <t>Long-range shooter optimized for [max] ink efficiency.</t>
  </si>
  <si>
    <t>Squelcher</t>
  </si>
  <si>
    <t>Long-range shooter optimized for [max] range and ink coverage</t>
  </si>
  <si>
    <t>Long-range shooter optimized for [max] rate of fire.</t>
  </si>
  <si>
    <t>Balanced roller optimized for [max] ink efficiency.</t>
  </si>
  <si>
    <t>Splat Roller</t>
  </si>
  <si>
    <t>Balanced roller optimized for [max] attack area of effect and ink coverage.</t>
  </si>
  <si>
    <t>Balanced roller optimized for [max] swing and ink speed.</t>
  </si>
  <si>
    <t>Heavy-hitting roller optimized for [max] ink efficiency.</t>
  </si>
  <si>
    <t>Dynamo Roller</t>
  </si>
  <si>
    <t>Heavy-hitting roller optimized for [max] attack area of effect and ink coverage.</t>
  </si>
  <si>
    <t>Heavy-hitting roller optimized for [max] swing and ink speed.</t>
  </si>
  <si>
    <t>Heavy-hitting charger optimized for [max] ink efficiency.</t>
  </si>
  <si>
    <t>E-liter</t>
  </si>
  <si>
    <t>Heavy-hitting charger optimized for [max] range and ink coverage.</t>
  </si>
  <si>
    <t>Heavy-hitting charger optimized for [max] charge speed.</t>
  </si>
  <si>
    <t>Nimble charger optimized for [max] ink efficiency.</t>
  </si>
  <si>
    <t>Squiffer</t>
  </si>
  <si>
    <t>Nimble charger optimized for [max] range and ink coverage.</t>
  </si>
  <si>
    <t>Nimble charger optimized for [max] charge speed.</t>
  </si>
  <si>
    <t>Balanced slosher optimized for [max] ink efficiency.</t>
  </si>
  <si>
    <t>Slosher</t>
  </si>
  <si>
    <t>Balanced slosher optimized for [max] range and ink coverage.</t>
  </si>
  <si>
    <t>Balanced slosher optimized for [max] swing speed.</t>
  </si>
  <si>
    <t>Explosive slosher optimized for [max] ink efficiency.</t>
  </si>
  <si>
    <t>Sloshing Machine</t>
  </si>
  <si>
    <t>Explosive slosher optimized for [max] attack area of effect and ink coverage.</t>
  </si>
  <si>
    <t>Explosive slosher optimized for [max] swing speed.</t>
  </si>
  <si>
    <t>High-capacity splatling optimized for [max] ink efficiency.</t>
  </si>
  <si>
    <t>Heavy Splatling</t>
  </si>
  <si>
    <t>High-capacity splatling optimized for [max] range and ink coverage.</t>
  </si>
  <si>
    <t>High-capacity splatling optimized for [max] charge speed.</t>
  </si>
  <si>
    <t>Nimble splatling optimized for [max] ink efficiency.</t>
  </si>
  <si>
    <t>Mini Splatling</t>
  </si>
  <si>
    <t>Nimble splatling optimized for [max] range and ink coverage.</t>
  </si>
  <si>
    <t>Nimble splatling optimized for [max] charge speed.</t>
  </si>
  <si>
    <t>Balanced dualies optimized for [max] ink efficiency.</t>
  </si>
  <si>
    <t>Splat Dualies</t>
  </si>
  <si>
    <t>Balanced dualies optimized for [max] range and ink coverage.</t>
  </si>
  <si>
    <t>Balanced dualies optimized for [max] Dodge Roll speed and rate of fire.</t>
  </si>
  <si>
    <t>Powerful dualies optimized for [max] ink efficiency.</t>
  </si>
  <si>
    <t>Glooga Dualies</t>
  </si>
  <si>
    <t>Powerful dualies optimized for [max] range and ink coverage.</t>
  </si>
  <si>
    <t>Powerful dualies optimized for [max] Dodge Roll speed and rate of fire.</t>
  </si>
  <si>
    <t>Balanced brella optimized for [max] ink efficiency.</t>
  </si>
  <si>
    <t>Splat Brella</t>
  </si>
  <si>
    <t>Balanced brella optimized for [max] attack area of effect and ink coverage.</t>
  </si>
  <si>
    <t>Balanced brella optimized for [max] launch speed and rate of fire.</t>
  </si>
  <si>
    <t>Large brella optimized for [max] ink efficiency.</t>
  </si>
  <si>
    <t>Tenta Brella</t>
  </si>
  <si>
    <t>Large brella optimized for [max] attack area of effect and ink coverage.</t>
  </si>
  <si>
    <t>Large brella optimized for [max] launch speed and rate of fire.</t>
  </si>
  <si>
    <t>Balanced blaster optimized for [max] ink efficiency.</t>
  </si>
  <si>
    <t>Blaster</t>
  </si>
  <si>
    <t>Balanced blaster optimized for [max] attack area of effect and ink coverage.</t>
  </si>
  <si>
    <t>Balanced blaster optimized for [max] rate of fire.</t>
  </si>
  <si>
    <t>Long-range blaster optimized for [max] ink efficiency.</t>
  </si>
  <si>
    <t>Rapid Blaster Pro</t>
  </si>
  <si>
    <t>Long-range blaster optimized for [max] attack area of effect and ink coverage.</t>
  </si>
  <si>
    <t>Long-range blaster optimized for [max] rate of fire.</t>
  </si>
  <si>
    <t>Balanced brush optimized for [max] ink efficiency.</t>
  </si>
  <si>
    <t>Octobrush</t>
  </si>
  <si>
    <t>Balanced brush optimized for [max] attack area of effect and ink coverage.</t>
  </si>
  <si>
    <t>Balanced brush optimized for [max] swing and ink speed.</t>
  </si>
  <si>
    <t>Balanced stringer optimized for [max] ink efficiency.</t>
  </si>
  <si>
    <t>Tri-Stringer</t>
  </si>
  <si>
    <t>Balanced stringer optimized for [max] attack area of effect and ink coverage.</t>
  </si>
  <si>
    <t>Balanced stringer optimized for [max] charge speed.</t>
  </si>
  <si>
    <t>Balanced splatana optimized for [max] ink efficiency.</t>
  </si>
  <si>
    <t>Splatana Stamper</t>
  </si>
  <si>
    <t>Balanced splatana optimized for [max] range and ink coverage.</t>
  </si>
  <si>
    <t>Balanced splatana optimized for [max] swing and charge speed.</t>
  </si>
  <si>
    <t>DAILY HELP BONUS</t>
  </si>
  <si>
    <t>2 Spirhalite Gems</t>
  </si>
  <si>
    <t>X</t>
  </si>
  <si>
    <t>5 weapons</t>
  </si>
  <si>
    <t>5 gadget parts</t>
  </si>
  <si>
    <t>20000 Spirhalite Shards</t>
  </si>
  <si>
    <t>^ then beat the game</t>
  </si>
  <si>
    <t>^ version update</t>
  </si>
  <si>
    <t>BOTTOMLESS BUFFET F97-F99</t>
  </si>
  <si>
    <t>avg per run</t>
  </si>
  <si>
    <t>3 weapons</t>
  </si>
  <si>
    <t>[1,1,3]</t>
  </si>
  <si>
    <t>[1,2,1]</t>
  </si>
  <si>
    <t>[2,2,1]</t>
  </si>
  <si>
    <t>[1,1,2]</t>
  </si>
  <si>
    <t>[1,3,1]</t>
  </si>
  <si>
    <t>[5',2,1]</t>
  </si>
  <si>
    <t>3 gadget parts</t>
  </si>
  <si>
    <t>[2,2,2]</t>
  </si>
  <si>
    <t>[1,1,1]</t>
  </si>
  <si>
    <t>[5,2,2]</t>
  </si>
  <si>
    <t>[2,1,5]</t>
  </si>
  <si>
    <t>[3,1,4]</t>
  </si>
  <si>
    <t>15k Spirhalite Shards</t>
  </si>
  <si>
    <t>Salty Tongue's Bucket x20</t>
  </si>
  <si>
    <t>Salivator's Plastic Bag</t>
  </si>
  <si>
    <t>Scrapper's Glass Window</t>
  </si>
  <si>
    <t>Stinger's Colander</t>
  </si>
  <si>
    <t>Steelhead's Tire</t>
  </si>
  <si>
    <t>Big Shot's Spring</t>
  </si>
  <si>
    <t>Fish Stick's Drill Bit</t>
  </si>
  <si>
    <t>Steel Eel's Jaw</t>
  </si>
  <si>
    <t>Slammin' Lid's Lid</t>
  </si>
  <si>
    <t>Flyfish's Bin</t>
  </si>
  <si>
    <t>Smoker's Tank</t>
  </si>
  <si>
    <t>Maw's Bobber</t>
  </si>
  <si>
    <t>Drizzler's Mask</t>
  </si>
  <si>
    <t>Flipper-Flopper's Eye Light</t>
  </si>
  <si>
    <t>Strong-Arms's Tongs</t>
  </si>
  <si>
    <t>5* Primo weapon drops</t>
  </si>
  <si>
    <t>5* base weapon drops</t>
  </si>
  <si>
    <t>[1750] 4* Primo weapon drops</t>
  </si>
  <si>
    <t>[1750] 4* weapon drops</t>
  </si>
  <si>
    <t>[750] 3* weapon drops</t>
  </si>
  <si>
    <t>[450] 2* weapon drops</t>
  </si>
  <si>
    <t>[300] 1* weapon drops</t>
  </si>
  <si>
    <t>[5000] 5* part drops</t>
  </si>
  <si>
    <t>[1500] 4* part drops</t>
  </si>
  <si>
    <t>[500] 3* part drops</t>
  </si>
  <si>
    <t>[200] 2* part drops</t>
  </si>
  <si>
    <t>[50] 1* part drops</t>
  </si>
  <si>
    <t>Spirhalite Gem drops</t>
  </si>
  <si>
    <t>Spirhalite Shard drops</t>
  </si>
  <si>
    <t>+ chest &amp; not-5* wep/part scraps</t>
  </si>
  <si>
    <t>overall gem rate</t>
  </si>
  <si>
    <t>Dropped weapons (and their rank):</t>
  </si>
  <si>
    <t>5'</t>
  </si>
  <si>
    <t>4'</t>
  </si>
  <si>
    <t>[weapon equipped] Buoy Splatling</t>
  </si>
  <si>
    <t>AWLMUN DEN (SUPER SPICY) [chest only]</t>
  </si>
  <si>
    <t>weapons</t>
  </si>
  <si>
    <t>gadget parts</t>
  </si>
  <si>
    <t>10k Spirhalite Shards</t>
  </si>
  <si>
    <t>Spirhalite Gem</t>
  </si>
  <si>
    <t>Salty Tongue's Bucket</t>
  </si>
  <si>
    <t>gems from 5 stingers</t>
  </si>
  <si>
    <t>PUDYIN DEN (SUPER SPICY)</t>
  </si>
  <si>
    <t>174 exp</t>
  </si>
  <si>
    <t>[4',5,1]</t>
  </si>
  <si>
    <t>[1,4',1]</t>
  </si>
  <si>
    <t>[2,3,1]</t>
  </si>
  <si>
    <t>[3,1,1]</t>
  </si>
  <si>
    <t>[2,1,3]</t>
  </si>
  <si>
    <t>[5,4,5]</t>
  </si>
  <si>
    <t>[4,2,3]</t>
  </si>
  <si>
    <t>[5,1,2]</t>
  </si>
  <si>
    <t>[4,1,5]</t>
  </si>
  <si>
    <t>[1,2,3]</t>
  </si>
  <si>
    <t>[3,3,2]</t>
  </si>
  <si>
    <t>[5,1,1]</t>
  </si>
  <si>
    <t>[1,3,2]</t>
  </si>
  <si>
    <t>[4,1,4]</t>
  </si>
  <si>
    <t>[2,4,3]</t>
  </si>
  <si>
    <t>[3,1,2]</t>
  </si>
  <si>
    <t>[4,2,2]</t>
  </si>
  <si>
    <t>[2,5,2]</t>
  </si>
  <si>
    <t>[2,4,4]</t>
  </si>
  <si>
    <t>Salty Tongue's Bucket x15</t>
  </si>
  <si>
    <t>Maws's Bobber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</si>
</sst>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000"/>
    <numFmt numFmtId="166" formatCode="0.0"/>
    <numFmt numFmtId="167" formatCode="0.000000"/>
  </numFmts>
  <fonts count="28">
    <font>
      <sz val="10.0"/>
      <color rgb="FF000000"/>
      <name val="Arial"/>
      <scheme val="minor"/>
    </font>
    <font>
      <sz val="10.0"/>
      <color theme="1"/>
      <name val="Arial"/>
    </font>
    <font>
      <color theme="1"/>
      <name val="Arial"/>
      <scheme val="minor"/>
    </font>
    <font>
      <sz val="10.0"/>
      <color rgb="FF000000"/>
      <name val="Arial"/>
    </font>
    <font>
      <color rgb="FFEFEFEF"/>
      <name val="Arial"/>
      <scheme val="minor"/>
    </font>
    <font>
      <sz val="10.0"/>
      <color rgb="FFB7B7B7"/>
      <name val="Arial"/>
    </font>
    <font>
      <sz val="10.0"/>
      <color rgb="FF999999"/>
      <name val="Arial"/>
    </font>
    <font>
      <sz val="10.0"/>
      <color rgb="FF808080"/>
      <name val="Arial"/>
    </font>
    <font>
      <color rgb="FF000000"/>
      <name val="Arial"/>
      <scheme val="minor"/>
    </font>
    <font>
      <sz val="8.0"/>
      <color rgb="FF000000"/>
      <name val="Arial"/>
    </font>
    <font>
      <sz val="8.0"/>
      <color rgb="FFCCCCCC"/>
      <name val="Arial"/>
    </font>
    <font>
      <sz val="9.0"/>
      <color rgb="FF999999"/>
      <name val="Arial"/>
    </font>
    <font>
      <color rgb="FF999999"/>
      <name val="Arial"/>
      <scheme val="minor"/>
    </font>
    <font>
      <sz val="10.0"/>
      <color rgb="FF81D41A"/>
      <name val="Arial"/>
    </font>
    <font>
      <sz val="9.0"/>
      <color rgb="FF999999"/>
      <name val="Arial"/>
      <scheme val="minor"/>
    </font>
    <font>
      <color rgb="FF93C47D"/>
      <name val="Arial"/>
      <scheme val="minor"/>
    </font>
    <font>
      <sz val="10.0"/>
      <color rgb="FFCCCCCC"/>
      <name val="Arial"/>
    </font>
    <font>
      <sz val="8.0"/>
      <color rgb="FFEEEEEE"/>
      <name val="Arial"/>
    </font>
    <font>
      <sz val="10.0"/>
      <color rgb="FF666666"/>
      <name val="Arial"/>
    </font>
    <font>
      <color rgb="FF666666"/>
      <name val="Arial"/>
      <scheme val="minor"/>
    </font>
    <font>
      <b/>
      <color theme="1"/>
      <name val="Arial"/>
      <scheme val="minor"/>
    </font>
    <font>
      <i/>
      <sz val="10.0"/>
      <color theme="1"/>
      <name val="Arial"/>
    </font>
    <font>
      <sz val="10.0"/>
      <color rgb="FFFF0000"/>
      <name val="Arial"/>
    </font>
    <font>
      <color rgb="FFCCCCCC"/>
      <name val="Arial"/>
      <scheme val="minor"/>
    </font>
    <font>
      <color rgb="FFB7B7B7"/>
      <name val="Arial"/>
      <scheme val="minor"/>
    </font>
    <font>
      <color rgb="FF808080"/>
      <name val="Arial"/>
      <scheme val="minor"/>
    </font>
    <font>
      <color rgb="FFB2B2B2"/>
      <name val="Arial"/>
      <scheme val="minor"/>
    </font>
    <font>
      <sz val="8.0"/>
      <color theme="1"/>
      <name val="Arial"/>
      <scheme val="minor"/>
    </font>
  </fonts>
  <fills count="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E327FF"/>
        <bgColor rgb="FFE327FF"/>
      </patternFill>
    </fill>
    <fill>
      <patternFill patternType="solid">
        <fgColor rgb="FFDC85E9"/>
        <bgColor rgb="FFDC85E9"/>
      </patternFill>
    </fill>
    <fill>
      <patternFill patternType="solid">
        <fgColor rgb="FFAADCF7"/>
        <bgColor rgb="FFAADCF7"/>
      </patternFill>
    </fill>
  </fills>
  <borders count="6">
    <border/>
    <border>
      <right style="thin">
        <color rgb="FF000000"/>
      </right>
      <bottom style="thin">
        <color rgb="FF000000"/>
      </bottom>
    </border>
    <border>
      <bottom style="thin">
        <color rgb="FF000000"/>
      </bottom>
    </border>
    <border>
      <right style="thin">
        <color rgb="FF000000"/>
      </right>
    </border>
    <border>
      <right/>
      <top/>
      <bottom/>
    </border>
    <border>
      <left/>
      <right/>
      <top/>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0"/>
    </xf>
    <xf borderId="2" fillId="0" fontId="1" numFmtId="0" xfId="0" applyAlignment="1" applyBorder="1" applyFont="1">
      <alignment horizontal="left" readingOrder="0" shrinkToFit="0" vertical="bottom" wrapText="0"/>
    </xf>
    <xf borderId="2" fillId="0" fontId="1" numFmtId="0" xfId="0" applyAlignment="1" applyBorder="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shrinkToFit="0" vertical="bottom" wrapText="0"/>
    </xf>
    <xf borderId="3" fillId="0" fontId="1" numFmtId="0" xfId="0" applyAlignment="1" applyBorder="1" applyFont="1">
      <alignment horizontal="right" shrinkToFit="0" vertical="bottom" wrapText="0"/>
    </xf>
    <xf borderId="0" fillId="0" fontId="1" numFmtId="0" xfId="0" applyAlignment="1" applyFont="1">
      <alignment horizontal="right" shrinkToFit="0" vertical="bottom" wrapText="0"/>
    </xf>
    <xf borderId="0" fillId="0" fontId="2" numFmtId="0" xfId="0" applyAlignment="1" applyFont="1">
      <alignment horizontal="right" readingOrder="0"/>
    </xf>
    <xf borderId="0" fillId="0" fontId="3" numFmtId="0" xfId="0" applyAlignment="1" applyFont="1">
      <alignment horizontal="center" readingOrder="0" shrinkToFit="0" vertical="bottom" wrapText="0"/>
    </xf>
    <xf borderId="0" fillId="0" fontId="1" numFmtId="0" xfId="0" applyAlignment="1" applyFont="1">
      <alignment horizontal="center" readingOrder="0" shrinkToFit="0" vertical="bottom" wrapText="0"/>
    </xf>
    <xf borderId="0" fillId="0" fontId="1" numFmtId="3" xfId="0" applyAlignment="1" applyFont="1" applyNumberFormat="1">
      <alignment horizontal="left" readingOrder="0" shrinkToFit="0" vertical="bottom" wrapText="0"/>
    </xf>
    <xf borderId="0" fillId="0" fontId="1" numFmtId="0" xfId="0" applyAlignment="1" applyFont="1">
      <alignment horizontal="right" readingOrder="0" shrinkToFit="0" vertical="bottom" wrapText="0"/>
    </xf>
    <xf borderId="0" fillId="0" fontId="1" numFmtId="3" xfId="0" applyAlignment="1" applyFont="1" applyNumberFormat="1">
      <alignment horizontal="right" shrinkToFit="0" vertical="bottom" wrapText="0"/>
    </xf>
    <xf borderId="0" fillId="0" fontId="2" numFmtId="0" xfId="0" applyAlignment="1" applyFont="1">
      <alignment readingOrder="0"/>
    </xf>
    <xf borderId="0" fillId="0" fontId="4" numFmtId="0" xfId="0" applyAlignment="1" applyFont="1">
      <alignment readingOrder="0"/>
    </xf>
    <xf borderId="0" fillId="0" fontId="3" numFmtId="1" xfId="0" applyAlignment="1" applyFont="1" applyNumberFormat="1">
      <alignment horizontal="center" shrinkToFit="0" vertical="bottom" wrapText="0"/>
    </xf>
    <xf borderId="0" fillId="0" fontId="3" numFmtId="3" xfId="0" applyAlignment="1" applyFont="1" applyNumberFormat="1">
      <alignment horizontal="right" readingOrder="0" shrinkToFit="0" vertical="bottom" wrapText="0"/>
    </xf>
    <xf borderId="0" fillId="0" fontId="5" numFmtId="0" xfId="0" applyAlignment="1" applyFont="1">
      <alignment horizontal="left" readingOrder="0" shrinkToFit="0" vertical="bottom" wrapText="0"/>
    </xf>
    <xf borderId="0" fillId="0" fontId="6" numFmtId="9" xfId="0" applyAlignment="1" applyFont="1" applyNumberFormat="1">
      <alignment horizontal="right" readingOrder="0" shrinkToFit="0" vertical="bottom" wrapText="0"/>
    </xf>
    <xf borderId="0" fillId="0" fontId="6" numFmtId="2" xfId="0" applyAlignment="1" applyFont="1" applyNumberFormat="1">
      <alignment horizontal="right" shrinkToFit="0" vertical="bottom" wrapText="0"/>
    </xf>
    <xf borderId="0" fillId="0" fontId="1" numFmtId="3" xfId="0" applyAlignment="1" applyFont="1" applyNumberFormat="1">
      <alignment horizontal="left" shrinkToFit="0" vertical="bottom" wrapText="0"/>
    </xf>
    <xf borderId="0" fillId="0" fontId="2" numFmtId="164" xfId="0" applyFont="1" applyNumberFormat="1"/>
    <xf borderId="0" fillId="0" fontId="2" numFmtId="3" xfId="0" applyAlignment="1" applyFont="1" applyNumberFormat="1">
      <alignment horizontal="right" readingOrder="0"/>
    </xf>
    <xf borderId="0" fillId="0" fontId="7" numFmtId="165" xfId="0" applyAlignment="1" applyFont="1" applyNumberFormat="1">
      <alignment horizontal="right" shrinkToFit="0" vertical="bottom" wrapText="0"/>
    </xf>
    <xf borderId="1" fillId="0" fontId="8" numFmtId="0" xfId="0" applyBorder="1" applyFont="1"/>
    <xf borderId="2" fillId="0" fontId="9" numFmtId="0" xfId="0" applyAlignment="1" applyBorder="1" applyFont="1">
      <alignment shrinkToFit="0" vertical="bottom" wrapText="0"/>
    </xf>
    <xf borderId="2" fillId="0" fontId="9" numFmtId="0" xfId="0" applyAlignment="1" applyBorder="1" applyFont="1">
      <alignment readingOrder="0" shrinkToFit="0" vertical="bottom" wrapText="0"/>
    </xf>
    <xf borderId="0" fillId="0" fontId="10" numFmtId="0" xfId="0" applyAlignment="1" applyFont="1">
      <alignment shrinkToFit="0" vertical="bottom" wrapText="0"/>
    </xf>
    <xf borderId="0" fillId="0" fontId="2" numFmtId="0" xfId="0" applyAlignment="1" applyFont="1">
      <alignment horizontal="center"/>
    </xf>
    <xf borderId="0" fillId="0" fontId="10" numFmtId="0" xfId="0" applyAlignment="1" applyFont="1">
      <alignment readingOrder="0" shrinkToFit="0" vertical="bottom" wrapText="0"/>
    </xf>
    <xf borderId="3" fillId="0" fontId="11" numFmtId="0" xfId="0" applyAlignment="1" applyBorder="1" applyFont="1">
      <alignment horizontal="right" readingOrder="0" shrinkToFit="0" vertical="bottom" wrapText="0"/>
    </xf>
    <xf borderId="0" fillId="0" fontId="12" numFmtId="164" xfId="0" applyAlignment="1" applyFont="1" applyNumberFormat="1">
      <alignment horizontal="center" readingOrder="0"/>
    </xf>
    <xf borderId="3" fillId="0" fontId="1" numFmtId="0" xfId="0" applyAlignment="1" applyBorder="1" applyFont="1">
      <alignment horizontal="center" shrinkToFit="0" vertical="bottom" wrapText="0"/>
    </xf>
    <xf borderId="4" fillId="2" fontId="1" numFmtId="0" xfId="0" applyAlignment="1" applyBorder="1" applyFill="1" applyFont="1">
      <alignment shrinkToFit="0" vertical="bottom" wrapText="0"/>
    </xf>
    <xf borderId="0" fillId="0" fontId="13" numFmtId="2" xfId="0" applyAlignment="1" applyFont="1" applyNumberFormat="1">
      <alignment shrinkToFit="0" vertical="bottom" wrapText="0"/>
    </xf>
    <xf borderId="0" fillId="0" fontId="14" numFmtId="0" xfId="0" applyAlignment="1" applyFont="1">
      <alignment readingOrder="0"/>
    </xf>
    <xf borderId="0" fillId="0" fontId="15" numFmtId="0" xfId="0" applyAlignment="1" applyFont="1">
      <alignment horizontal="right" readingOrder="0"/>
    </xf>
    <xf borderId="3" fillId="0" fontId="2" numFmtId="0" xfId="0" applyBorder="1" applyFont="1"/>
    <xf borderId="0" fillId="0" fontId="16" numFmtId="165" xfId="0" applyAlignment="1" applyFont="1" applyNumberFormat="1">
      <alignment shrinkToFit="0" vertical="bottom" wrapText="0"/>
    </xf>
    <xf borderId="0" fillId="0" fontId="2" numFmtId="0" xfId="0" applyFont="1"/>
    <xf borderId="5" fillId="2" fontId="1" numFmtId="0" xfId="0" applyAlignment="1" applyBorder="1" applyFont="1">
      <alignment horizontal="right" shrinkToFit="0" vertical="bottom" wrapText="0"/>
    </xf>
    <xf borderId="0" fillId="0" fontId="2" numFmtId="165" xfId="0" applyFont="1" applyNumberFormat="1"/>
    <xf borderId="5" fillId="2" fontId="1" numFmtId="0" xfId="0" applyAlignment="1" applyBorder="1" applyFont="1">
      <alignment shrinkToFit="0" vertical="bottom" wrapText="0"/>
    </xf>
    <xf borderId="0" fillId="0" fontId="6" numFmtId="0" xfId="0" applyAlignment="1" applyFont="1">
      <alignment shrinkToFit="0" vertical="bottom" wrapText="0"/>
    </xf>
    <xf borderId="5" fillId="2" fontId="6" numFmtId="0" xfId="0" applyAlignment="1" applyBorder="1" applyFont="1">
      <alignment shrinkToFit="0" vertical="bottom" wrapText="0"/>
    </xf>
    <xf borderId="1" fillId="0" fontId="2" numFmtId="0" xfId="0" applyBorder="1" applyFont="1"/>
    <xf borderId="2" fillId="0" fontId="2" numFmtId="0" xfId="0" applyBorder="1" applyFont="1"/>
    <xf borderId="0" fillId="2" fontId="1" numFmtId="0" xfId="0" applyAlignment="1" applyFont="1">
      <alignment horizontal="right" shrinkToFit="0" vertical="bottom" wrapText="0"/>
    </xf>
    <xf borderId="0" fillId="0" fontId="8" numFmtId="166" xfId="0" applyAlignment="1" applyFont="1" applyNumberFormat="1">
      <alignment horizontal="center" readingOrder="0"/>
    </xf>
    <xf borderId="0" fillId="0" fontId="12" numFmtId="2" xfId="0" applyAlignment="1" applyFont="1" applyNumberFormat="1">
      <alignment horizontal="right" readingOrder="0"/>
    </xf>
    <xf borderId="3" fillId="0" fontId="17" numFmtId="0" xfId="0" applyAlignment="1" applyBorder="1" applyFont="1">
      <alignment shrinkToFit="0" vertical="bottom" wrapText="0"/>
    </xf>
    <xf borderId="0" fillId="0" fontId="18" numFmtId="0" xfId="0" applyAlignment="1" applyFont="1">
      <alignment horizontal="right" shrinkToFit="0" vertical="bottom" wrapText="0"/>
    </xf>
    <xf borderId="0" fillId="0" fontId="19" numFmtId="166" xfId="0" applyAlignment="1" applyFont="1" applyNumberFormat="1">
      <alignment horizontal="center" readingOrder="0"/>
    </xf>
    <xf borderId="0" fillId="0" fontId="19" numFmtId="0" xfId="0" applyAlignment="1" applyFont="1">
      <alignment horizontal="right" readingOrder="0"/>
    </xf>
    <xf borderId="0" fillId="0" fontId="18" numFmtId="3" xfId="0" applyAlignment="1" applyFont="1" applyNumberFormat="1">
      <alignment horizontal="right" shrinkToFit="0" vertical="bottom" wrapText="0"/>
    </xf>
    <xf borderId="0" fillId="0" fontId="19" numFmtId="164" xfId="0" applyFont="1" applyNumberFormat="1"/>
    <xf borderId="0" fillId="0" fontId="2" numFmtId="167" xfId="0" applyAlignment="1" applyFont="1" applyNumberFormat="1">
      <alignment horizontal="left"/>
    </xf>
    <xf borderId="0" fillId="0" fontId="20" numFmtId="0" xfId="0" applyAlignment="1" applyFont="1">
      <alignment horizontal="center" readingOrder="0"/>
    </xf>
    <xf borderId="2" fillId="0" fontId="1" numFmtId="0" xfId="0" applyAlignment="1" applyBorder="1" applyFont="1">
      <alignment horizontal="right" shrinkToFit="0" vertical="bottom" wrapText="0"/>
    </xf>
    <xf borderId="0" fillId="0" fontId="21" numFmtId="0" xfId="0" applyAlignment="1" applyFont="1">
      <alignment shrinkToFit="0" vertical="bottom" wrapText="0"/>
    </xf>
    <xf borderId="5" fillId="2" fontId="21" numFmtId="0" xfId="0" applyAlignment="1" applyBorder="1" applyFont="1">
      <alignment shrinkToFit="0" vertical="bottom" wrapText="0"/>
    </xf>
    <xf borderId="0" fillId="0" fontId="6" numFmtId="0" xfId="0" applyAlignment="1" applyFont="1">
      <alignment horizontal="right" readingOrder="0" shrinkToFit="0" vertical="bottom" wrapText="0"/>
    </xf>
    <xf borderId="0" fillId="0" fontId="2" numFmtId="0" xfId="0" applyAlignment="1" applyFont="1">
      <alignment horizontal="left" readingOrder="0"/>
    </xf>
    <xf borderId="0" fillId="0" fontId="2" numFmtId="0" xfId="0" applyAlignment="1" applyFont="1">
      <alignment horizontal="left"/>
    </xf>
    <xf borderId="1" fillId="0" fontId="2" numFmtId="0" xfId="0" applyAlignment="1" applyBorder="1" applyFont="1">
      <alignment horizontal="right" readingOrder="0"/>
    </xf>
    <xf borderId="2" fillId="0" fontId="2" numFmtId="0" xfId="0" applyAlignment="1" applyBorder="1" applyFont="1">
      <alignment horizontal="left" readingOrder="0"/>
    </xf>
    <xf borderId="0" fillId="0" fontId="6" numFmtId="0" xfId="0" applyAlignment="1" applyFont="1">
      <alignment horizontal="left" readingOrder="0" shrinkToFit="0" vertical="bottom" wrapText="0"/>
    </xf>
    <xf borderId="3" fillId="0" fontId="2" numFmtId="0" xfId="0" applyAlignment="1" applyBorder="1" applyFont="1">
      <alignment horizontal="center" readingOrder="0"/>
    </xf>
    <xf borderId="0" fillId="0" fontId="6" numFmtId="3" xfId="0" applyAlignment="1" applyFont="1" applyNumberFormat="1">
      <alignment horizontal="right" shrinkToFit="0" vertical="bottom" wrapText="0"/>
    </xf>
    <xf borderId="0" fillId="0" fontId="1" numFmtId="0" xfId="0" applyAlignment="1" applyFont="1">
      <alignment shrinkToFit="0" vertical="bottom" wrapText="0"/>
    </xf>
    <xf borderId="0" fillId="2" fontId="2" numFmtId="3" xfId="0" applyAlignment="1" applyFont="1" applyNumberFormat="1">
      <alignment horizontal="right" readingOrder="0"/>
    </xf>
    <xf quotePrefix="1" borderId="0" fillId="0" fontId="22" numFmtId="0" xfId="0" applyAlignment="1" applyFont="1">
      <alignment horizontal="left" readingOrder="0" shrinkToFit="0" vertical="bottom" wrapText="0"/>
    </xf>
    <xf borderId="0" fillId="0" fontId="3" numFmtId="0" xfId="0" applyAlignment="1" applyFont="1">
      <alignment horizontal="right" shrinkToFit="0" vertical="bottom" wrapText="0"/>
    </xf>
    <xf borderId="3" fillId="0" fontId="18" numFmtId="0" xfId="0" applyAlignment="1" applyBorder="1" applyFont="1">
      <alignment horizontal="center" shrinkToFit="0" vertical="bottom" wrapText="0"/>
    </xf>
    <xf borderId="0" fillId="0" fontId="19" numFmtId="0" xfId="0" applyFont="1"/>
    <xf borderId="0" fillId="0" fontId="19" numFmtId="165" xfId="0" applyFont="1" applyNumberFormat="1"/>
    <xf borderId="0" fillId="0" fontId="2" numFmtId="0" xfId="0" applyAlignment="1" applyFont="1">
      <alignment horizontal="left"/>
    </xf>
    <xf borderId="0" fillId="0" fontId="12" numFmtId="0" xfId="0" applyAlignment="1" applyFont="1">
      <alignment horizontal="right" readingOrder="0"/>
    </xf>
    <xf borderId="0" fillId="0" fontId="23" numFmtId="164" xfId="0" applyFont="1" applyNumberFormat="1"/>
    <xf borderId="0" fillId="0" fontId="23" numFmtId="165" xfId="0" applyFont="1" applyNumberFormat="1"/>
    <xf borderId="0" fillId="2" fontId="1" numFmtId="0" xfId="0" applyAlignment="1" applyFont="1">
      <alignment horizontal="right" readingOrder="0" shrinkToFit="0" vertical="bottom" wrapText="0"/>
    </xf>
    <xf borderId="0" fillId="0" fontId="12" numFmtId="3" xfId="0" applyAlignment="1" applyFont="1" applyNumberFormat="1">
      <alignment horizontal="right" readingOrder="0"/>
    </xf>
    <xf borderId="0" fillId="0" fontId="16" numFmtId="0" xfId="0" applyAlignment="1" applyFont="1">
      <alignment horizontal="right" readingOrder="0" shrinkToFit="0" vertical="bottom" wrapText="0"/>
    </xf>
    <xf borderId="0" fillId="0" fontId="16" numFmtId="165" xfId="0" applyAlignment="1" applyFont="1" applyNumberFormat="1">
      <alignment horizontal="right" shrinkToFit="0" vertical="bottom" wrapText="0"/>
    </xf>
    <xf borderId="0" fillId="0" fontId="2" numFmtId="165" xfId="0" applyAlignment="1" applyFont="1" applyNumberFormat="1">
      <alignment horizontal="left"/>
    </xf>
    <xf borderId="0" fillId="0" fontId="2" numFmtId="0" xfId="0" applyAlignment="1" applyFont="1">
      <alignment horizontal="center" readingOrder="0"/>
    </xf>
    <xf borderId="0" fillId="0" fontId="24" numFmtId="0" xfId="0" applyAlignment="1" applyFont="1">
      <alignment horizontal="right" readingOrder="0"/>
    </xf>
    <xf borderId="1" fillId="0" fontId="1" numFmtId="0" xfId="0" applyAlignment="1" applyBorder="1" applyFont="1">
      <alignment shrinkToFit="0" vertical="bottom" wrapText="0"/>
    </xf>
    <xf borderId="2" fillId="0" fontId="1" numFmtId="0" xfId="0" applyAlignment="1" applyBorder="1" applyFont="1">
      <alignment shrinkToFit="0" vertical="bottom" wrapText="0"/>
    </xf>
    <xf borderId="2" fillId="0" fontId="2" numFmtId="0" xfId="0" applyAlignment="1" applyBorder="1" applyFont="1">
      <alignment horizontal="right" readingOrder="0"/>
    </xf>
    <xf borderId="0" fillId="0" fontId="23" numFmtId="164" xfId="0" applyAlignment="1" applyFont="1" applyNumberFormat="1">
      <alignment readingOrder="0"/>
    </xf>
    <xf borderId="2" fillId="0" fontId="12" numFmtId="0" xfId="0" applyAlignment="1" applyBorder="1" applyFont="1">
      <alignment horizontal="right" readingOrder="0"/>
    </xf>
    <xf borderId="2" fillId="0" fontId="2" numFmtId="0" xfId="0" applyAlignment="1" applyBorder="1" applyFont="1">
      <alignment readingOrder="0"/>
    </xf>
    <xf borderId="0" fillId="0" fontId="20" numFmtId="0" xfId="0" applyAlignment="1" applyFont="1">
      <alignment horizontal="left" readingOrder="0"/>
    </xf>
    <xf borderId="0" fillId="0" fontId="2" numFmtId="0" xfId="0" applyAlignment="1" applyFont="1">
      <alignment horizontal="right"/>
    </xf>
    <xf borderId="0" fillId="0" fontId="25" numFmtId="0" xfId="0" applyAlignment="1" applyFont="1">
      <alignment horizontal="center" readingOrder="0"/>
    </xf>
    <xf borderId="3" fillId="0" fontId="25" numFmtId="0" xfId="0" applyAlignment="1" applyBorder="1" applyFont="1">
      <alignment horizontal="center" readingOrder="0"/>
    </xf>
    <xf borderId="0" fillId="3" fontId="2" numFmtId="0" xfId="0" applyAlignment="1" applyFill="1" applyFont="1">
      <alignment horizontal="right" readingOrder="0"/>
    </xf>
    <xf borderId="0" fillId="0" fontId="2" numFmtId="164" xfId="0" applyAlignment="1" applyFont="1" applyNumberFormat="1">
      <alignment horizontal="right"/>
    </xf>
    <xf borderId="3" fillId="0" fontId="26" numFmtId="10" xfId="0" applyAlignment="1" applyBorder="1" applyFont="1" applyNumberFormat="1">
      <alignment horizontal="right" readingOrder="0"/>
    </xf>
    <xf borderId="0" fillId="0" fontId="26" numFmtId="0" xfId="0" applyAlignment="1" applyFont="1">
      <alignment horizontal="center" readingOrder="0"/>
    </xf>
    <xf borderId="0" fillId="0" fontId="2" numFmtId="164" xfId="0" applyAlignment="1" applyFont="1" applyNumberFormat="1">
      <alignment horizontal="right"/>
    </xf>
    <xf borderId="3" fillId="0" fontId="2" numFmtId="0" xfId="0" applyAlignment="1" applyBorder="1" applyFont="1">
      <alignment horizontal="left"/>
    </xf>
    <xf borderId="3" fillId="0" fontId="2" numFmtId="0" xfId="0" applyAlignment="1" applyBorder="1" applyFont="1">
      <alignment horizontal="center"/>
    </xf>
    <xf borderId="0" fillId="0" fontId="2" numFmtId="164" xfId="0" applyAlignment="1" applyFont="1" applyNumberFormat="1">
      <alignment horizontal="right" readingOrder="0"/>
    </xf>
    <xf borderId="0" fillId="0" fontId="2" numFmtId="20" xfId="0" applyAlignment="1" applyFont="1" applyNumberFormat="1">
      <alignment horizontal="right" readingOrder="0"/>
    </xf>
    <xf borderId="0" fillId="0" fontId="27" numFmtId="20" xfId="0" applyAlignment="1" applyFont="1" applyNumberFormat="1">
      <alignment horizontal="center" readingOrder="0"/>
    </xf>
    <xf borderId="0" fillId="0" fontId="27" numFmtId="0" xfId="0" applyAlignment="1" applyFont="1">
      <alignment horizontal="center" readingOrder="0"/>
    </xf>
    <xf borderId="0" fillId="4" fontId="2" numFmtId="0" xfId="0" applyAlignment="1" applyFill="1" applyFont="1">
      <alignment horizontal="right" readingOrder="0"/>
    </xf>
    <xf borderId="3" fillId="0" fontId="26" numFmtId="0" xfId="0" applyAlignment="1" applyBorder="1" applyFont="1">
      <alignment horizontal="right" readingOrder="0"/>
    </xf>
    <xf borderId="0" fillId="0" fontId="2" numFmtId="0" xfId="0" applyAlignment="1" applyFont="1">
      <alignment horizontal="center"/>
    </xf>
    <xf borderId="0" fillId="5" fontId="2" numFmtId="0" xfId="0" applyAlignment="1" applyFill="1" applyFont="1">
      <alignment horizontal="right" readingOrder="0"/>
    </xf>
    <xf borderId="0" fillId="6" fontId="2" numFmtId="0" xfId="0" applyAlignment="1" applyFill="1" applyFont="1">
      <alignment horizontal="right" readingOrder="0"/>
    </xf>
    <xf quotePrefix="1" borderId="0" fillId="0" fontId="12" numFmtId="0" xfId="0" applyAlignment="1" applyFont="1">
      <alignment horizontal="right" readingOrder="0"/>
    </xf>
    <xf borderId="0" fillId="0" fontId="12" numFmtId="164" xfId="0" applyAlignment="1" applyFont="1" applyNumberFormat="1">
      <alignment horizontal="right" readingOrder="0"/>
    </xf>
    <xf borderId="3" fillId="0" fontId="12" numFmtId="0" xfId="0" applyAlignment="1" applyBorder="1" applyFont="1">
      <alignment horizontal="right" readingOrder="0"/>
    </xf>
    <xf borderId="0" fillId="0" fontId="2" numFmtId="10" xfId="0" applyFont="1" applyNumberFormat="1"/>
    <xf borderId="0" fillId="2" fontId="2" numFmtId="0" xfId="0" applyAlignment="1" applyFont="1">
      <alignment horizontal="right" readingOrder="0"/>
    </xf>
    <xf borderId="0" fillId="0" fontId="19" numFmtId="164" xfId="0" applyAlignment="1" applyFont="1" applyNumberFormat="1">
      <alignment horizontal="right" readingOrder="0"/>
    </xf>
    <xf borderId="3" fillId="0" fontId="26" numFmtId="1" xfId="0" applyAlignment="1" applyBorder="1" applyFont="1" applyNumberFormat="1">
      <alignment horizontal="right" readingOrder="0"/>
    </xf>
    <xf borderId="3" fillId="0" fontId="2" numFmtId="0" xfId="0" applyAlignment="1" applyBorder="1" applyFont="1">
      <alignment horizontal="right"/>
    </xf>
    <xf quotePrefix="1" borderId="0" fillId="0" fontId="19" numFmtId="0" xfId="0" applyAlignment="1" applyFont="1">
      <alignment horizontal="right" readingOrder="0"/>
    </xf>
    <xf borderId="0" fillId="0" fontId="2" numFmtId="10"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Player DMG per level</a:t>
            </a:r>
          </a:p>
        </c:rich>
      </c:tx>
      <c:overlay val="0"/>
    </c:title>
    <c:plotArea>
      <c:layout/>
      <c:scatterChart>
        <c:scatterStyle val="lineMarker"/>
        <c:varyColors val="0"/>
        <c:ser>
          <c:idx val="0"/>
          <c:order val="0"/>
          <c:spPr>
            <a:ln>
              <a:noFill/>
            </a:ln>
          </c:spPr>
          <c:marker>
            <c:symbol val="circle"/>
            <c:size val="7"/>
            <c:spPr>
              <a:solidFill>
                <a:srgbClr val="004586"/>
              </a:solidFill>
              <a:ln cmpd="sng">
                <a:solidFill>
                  <a:srgbClr val="004586"/>
                </a:solidFill>
              </a:ln>
            </c:spPr>
          </c:marker>
          <c:trendline>
            <c:name/>
            <c:spPr>
              <a:ln w="19050">
                <a:solidFill>
                  <a:srgbClr val="000000">
                    <a:alpha val="0"/>
                  </a:srgbClr>
                </a:solidFill>
              </a:ln>
            </c:spPr>
            <c:trendlineType val="exp"/>
            <c:dispRSqr val="1"/>
            <c:dispEq val="0"/>
          </c:trendline>
          <c:xVal>
            <c:numRef>
              <c:f>'Player level'!$A$2:$A$61</c:f>
            </c:numRef>
          </c:xVal>
          <c:yVal>
            <c:numRef>
              <c:f>'Player level'!$C$2:$C$61</c:f>
              <c:numCache/>
            </c:numRef>
          </c:yVal>
        </c:ser>
        <c:dLbls>
          <c:showLegendKey val="0"/>
          <c:showVal val="0"/>
          <c:showCatName val="0"/>
          <c:showSerName val="0"/>
          <c:showPercent val="0"/>
          <c:showBubbleSize val="0"/>
        </c:dLbls>
        <c:axId val="629782412"/>
        <c:axId val="1001290905"/>
      </c:scatterChart>
      <c:valAx>
        <c:axId val="629782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1001290905"/>
      </c:valAx>
      <c:valAx>
        <c:axId val="1001290905"/>
        <c:scaling>
          <c:orientation val="minMax"/>
          <c:max val="5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629782412"/>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Base HP per current level</a:t>
            </a:r>
          </a:p>
        </c:rich>
      </c:tx>
      <c:overlay val="0"/>
    </c:title>
    <c:plotArea>
      <c:layout/>
      <c:scatterChart>
        <c:scatterStyle val="lineMarker"/>
        <c:varyColors val="0"/>
        <c:ser>
          <c:idx val="0"/>
          <c:order val="0"/>
          <c:spPr>
            <a:ln>
              <a:noFill/>
            </a:ln>
          </c:spPr>
          <c:marker>
            <c:symbol val="circle"/>
            <c:size val="7"/>
            <c:spPr>
              <a:solidFill>
                <a:srgbClr val="004586"/>
              </a:solidFill>
              <a:ln cmpd="sng">
                <a:solidFill>
                  <a:srgbClr val="004586"/>
                </a:solidFill>
              </a:ln>
            </c:spPr>
          </c:marker>
          <c:trendline>
            <c:name/>
            <c:spPr>
              <a:ln w="19050">
                <a:solidFill>
                  <a:srgbClr val="000000">
                    <a:alpha val="0"/>
                  </a:srgbClr>
                </a:solidFill>
              </a:ln>
            </c:spPr>
            <c:trendlineType val="exp"/>
            <c:dispRSqr val="1"/>
            <c:dispEq val="0"/>
          </c:trendline>
          <c:xVal>
            <c:numRef>
              <c:f>'Player level'!$A$2:$A$61</c:f>
            </c:numRef>
          </c:xVal>
          <c:yVal>
            <c:numRef>
              <c:f>'Player level'!$B$2:$B$61</c:f>
              <c:numCache/>
            </c:numRef>
          </c:yVal>
        </c:ser>
        <c:dLbls>
          <c:showLegendKey val="0"/>
          <c:showVal val="0"/>
          <c:showCatName val="0"/>
          <c:showSerName val="0"/>
          <c:showPercent val="0"/>
          <c:showBubbleSize val="0"/>
        </c:dLbls>
        <c:axId val="2027731646"/>
        <c:axId val="1093297142"/>
      </c:scatterChart>
      <c:valAx>
        <c:axId val="2027731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1093297142"/>
      </c:valAx>
      <c:valAx>
        <c:axId val="10932971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2027731646"/>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300">
                <a:solidFill>
                  <a:srgbClr val="757575"/>
                </a:solidFill>
                <a:latin typeface="Arial"/>
              </a:defRPr>
            </a:pPr>
            <a:r>
              <a:rPr b="0" i="0" sz="1300">
                <a:solidFill>
                  <a:srgbClr val="757575"/>
                </a:solidFill>
                <a:latin typeface="Arial"/>
              </a:rPr>
              <a:t>EXP to next level per current level</a:t>
            </a:r>
          </a:p>
        </c:rich>
      </c:tx>
      <c:overlay val="0"/>
    </c:title>
    <c:plotArea>
      <c:layout/>
      <c:scatterChart>
        <c:scatterStyle val="lineMarker"/>
        <c:varyColors val="0"/>
        <c:ser>
          <c:idx val="0"/>
          <c:order val="0"/>
          <c:spPr>
            <a:ln>
              <a:noFill/>
            </a:ln>
          </c:spPr>
          <c:marker>
            <c:symbol val="circle"/>
            <c:size val="7"/>
            <c:spPr>
              <a:solidFill>
                <a:srgbClr val="004586"/>
              </a:solidFill>
              <a:ln cmpd="sng">
                <a:solidFill>
                  <a:srgbClr val="004586"/>
                </a:solidFill>
              </a:ln>
            </c:spPr>
          </c:marker>
          <c:trendline>
            <c:name/>
            <c:spPr>
              <a:ln w="19050">
                <a:solidFill>
                  <a:srgbClr val="000000">
                    <a:alpha val="0"/>
                  </a:srgbClr>
                </a:solidFill>
              </a:ln>
            </c:spPr>
            <c:trendlineType val="exp"/>
            <c:dispRSqr val="1"/>
            <c:dispEq val="0"/>
          </c:trendline>
          <c:xVal>
            <c:numRef>
              <c:f>'Player level'!$A$2:$A$61</c:f>
            </c:numRef>
          </c:xVal>
          <c:yVal>
            <c:numRef>
              <c:f>'Player level'!$D$2:$D$61</c:f>
              <c:numCache/>
            </c:numRef>
          </c:yVal>
        </c:ser>
        <c:dLbls>
          <c:showLegendKey val="0"/>
          <c:showVal val="0"/>
          <c:showCatName val="0"/>
          <c:showSerName val="0"/>
          <c:showPercent val="0"/>
          <c:showBubbleSize val="0"/>
        </c:dLbls>
        <c:axId val="199267562"/>
        <c:axId val="913446427"/>
      </c:scatterChart>
      <c:valAx>
        <c:axId val="199267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913446427"/>
      </c:valAx>
      <c:valAx>
        <c:axId val="9134464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199267562"/>
      </c:valAx>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Spirhalite shard level-up costs (just +1) per base level</a:t>
            </a:r>
          </a:p>
        </c:rich>
      </c:tx>
      <c:overlay val="0"/>
    </c:title>
    <c:plotArea>
      <c:layout/>
      <c:scatterChart>
        <c:scatterStyle val="lineMarker"/>
        <c:varyColors val="0"/>
        <c:ser>
          <c:idx val="0"/>
          <c:order val="0"/>
          <c:tx>
            <c:strRef>
              <c:f>'Weapon upgrade Spirhalite costs'!$B$1</c:f>
            </c:strRef>
          </c:tx>
          <c:spPr>
            <a:ln>
              <a:noFill/>
            </a:ln>
          </c:spPr>
          <c:marker>
            <c:symbol val="circle"/>
            <c:size val="7"/>
            <c:spPr>
              <a:solidFill>
                <a:schemeClr val="accent1"/>
              </a:solidFill>
              <a:ln cmpd="sng">
                <a:solidFill>
                  <a:schemeClr val="accent1"/>
                </a:solidFill>
              </a:ln>
            </c:spPr>
          </c:marker>
          <c:xVal>
            <c:numRef>
              <c:f>'Weapon upgrade Spirhalite costs'!$A$2:$A$51</c:f>
            </c:numRef>
          </c:xVal>
          <c:yVal>
            <c:numRef>
              <c:f>'Weapon upgrade Spirhalite costs'!$B$2:$B$51</c:f>
              <c:numCache/>
            </c:numRef>
          </c:yVal>
        </c:ser>
        <c:dLbls>
          <c:showLegendKey val="0"/>
          <c:showVal val="0"/>
          <c:showCatName val="0"/>
          <c:showSerName val="0"/>
          <c:showPercent val="0"/>
          <c:showBubbleSize val="0"/>
        </c:dLbls>
        <c:axId val="1089938306"/>
        <c:axId val="1108202905"/>
      </c:scatterChart>
      <c:valAx>
        <c:axId val="10899383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8202905"/>
      </c:valAx>
      <c:valAx>
        <c:axId val="1108202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993830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Arial"/>
              </a:defRPr>
            </a:pPr>
            <a:r>
              <a:rPr b="0" i="0" sz="1800">
                <a:solidFill>
                  <a:srgbClr val="757575"/>
                </a:solidFill>
                <a:latin typeface="Arial"/>
              </a:rPr>
              <a:t>(Level 50 player, +400% weapon damage tank upgrades) Weapon damage per weapon level</a:t>
            </a:r>
          </a:p>
        </c:rich>
      </c:tx>
      <c:layout>
        <c:manualLayout>
          <c:xMode val="edge"/>
          <c:yMode val="edge"/>
          <c:x val="0.01836758216730373"/>
          <c:y val="0.00365695937207332"/>
        </c:manualLayout>
      </c:layout>
      <c:overlay val="0"/>
    </c:title>
    <c:plotArea>
      <c:layout>
        <c:manualLayout>
          <c:xMode val="edge"/>
          <c:yMode val="edge"/>
          <c:x val="0.047311136993453635"/>
          <c:y val="0.054007046336351124"/>
          <c:w val="0.7670778248987935"/>
          <c:h val="0.89519689604424"/>
        </c:manualLayout>
      </c:layout>
      <c:scatterChart>
        <c:scatterStyle val="lineMarker"/>
        <c:ser>
          <c:idx val="0"/>
          <c:order val="0"/>
          <c:tx>
            <c:v>Splattershot – Shot</c:v>
          </c:tx>
          <c:spPr>
            <a:ln>
              <a:noFill/>
            </a:ln>
          </c:spPr>
          <c:marker>
            <c:symbol val="circle"/>
            <c:size val="7"/>
            <c:spPr>
              <a:solidFill>
                <a:srgbClr val="004586"/>
              </a:solidFill>
              <a:ln cmpd="sng">
                <a:solidFill>
                  <a:srgbClr val="004586"/>
                </a:solidFill>
              </a:ln>
            </c:spPr>
          </c:marker>
          <c:xVal>
            <c:numRef>
              <c:f>'Weapon damage values'!$A$6:$A$65</c:f>
            </c:numRef>
          </c:xVal>
          <c:yVal>
            <c:numRef>
              <c:f>'Weapon damage values'!$B$6:$B$66</c:f>
              <c:numCache/>
            </c:numRef>
          </c:yVal>
        </c:ser>
        <c:ser>
          <c:idx val="1"/>
          <c:order val="1"/>
          <c:tx>
            <c:v>Splattershot Jr. – Shot</c:v>
          </c:tx>
          <c:spPr>
            <a:ln>
              <a:noFill/>
            </a:ln>
          </c:spPr>
          <c:marker>
            <c:symbol val="circle"/>
            <c:size val="7"/>
            <c:spPr>
              <a:solidFill>
                <a:srgbClr val="579D1C"/>
              </a:solidFill>
              <a:ln cmpd="sng">
                <a:solidFill>
                  <a:srgbClr val="579D1C"/>
                </a:solidFill>
              </a:ln>
            </c:spPr>
          </c:marker>
          <c:xVal>
            <c:numRef>
              <c:f>'Weapon damage values'!$A$6:$A$65</c:f>
            </c:numRef>
          </c:xVal>
          <c:yVal>
            <c:numRef>
              <c:f>'Weapon damage values'!$E$6:$E$65</c:f>
              <c:numCache/>
            </c:numRef>
          </c:yVal>
        </c:ser>
        <c:ser>
          <c:idx val="2"/>
          <c:order val="2"/>
          <c:tx>
            <c:v>Squelcher – Shot</c:v>
          </c:tx>
          <c:spPr>
            <a:ln>
              <a:noFill/>
            </a:ln>
          </c:spPr>
          <c:marker>
            <c:symbol val="circle"/>
            <c:size val="7"/>
            <c:spPr>
              <a:solidFill>
                <a:srgbClr val="314004"/>
              </a:solidFill>
              <a:ln cmpd="sng">
                <a:solidFill>
                  <a:srgbClr val="314004"/>
                </a:solidFill>
              </a:ln>
            </c:spPr>
          </c:marker>
          <c:xVal>
            <c:numRef>
              <c:f>'Weapon damage values'!$A$6:$A$65</c:f>
            </c:numRef>
          </c:xVal>
          <c:yVal>
            <c:numRef>
              <c:f>'Weapon damage values'!$H$6:$H$65</c:f>
              <c:numCache/>
            </c:numRef>
          </c:yVal>
        </c:ser>
        <c:ser>
          <c:idx val="3"/>
          <c:order val="3"/>
          <c:tx>
            <c:v>Splat Roller – Horizontal swing</c:v>
          </c:tx>
          <c:spPr>
            <a:ln>
              <a:noFill/>
            </a:ln>
          </c:spPr>
          <c:marker>
            <c:symbol val="circle"/>
            <c:size val="7"/>
            <c:spPr>
              <a:solidFill>
                <a:srgbClr val="FF950E"/>
              </a:solidFill>
              <a:ln cmpd="sng">
                <a:solidFill>
                  <a:srgbClr val="FF950E"/>
                </a:solidFill>
              </a:ln>
            </c:spPr>
          </c:marker>
          <c:xVal>
            <c:numRef>
              <c:f>'Weapon damage values'!$A$6:$A$65</c:f>
            </c:numRef>
          </c:xVal>
          <c:yVal>
            <c:numRef>
              <c:f>'Weapon damage values'!$K$6:$K$65</c:f>
              <c:numCache/>
            </c:numRef>
          </c:yVal>
        </c:ser>
        <c:ser>
          <c:idx val="4"/>
          <c:order val="4"/>
          <c:tx>
            <c:v>Splat Roller – Vertical swing</c:v>
          </c:tx>
          <c:spPr>
            <a:ln>
              <a:noFill/>
            </a:ln>
          </c:spPr>
          <c:marker>
            <c:symbol val="circle"/>
            <c:size val="7"/>
            <c:spPr>
              <a:solidFill>
                <a:srgbClr val="C5000B"/>
              </a:solidFill>
              <a:ln cmpd="sng">
                <a:solidFill>
                  <a:srgbClr val="C5000B"/>
                </a:solidFill>
              </a:ln>
            </c:spPr>
          </c:marker>
          <c:xVal>
            <c:numRef>
              <c:f>'Weapon damage values'!$A$6:$A$65</c:f>
            </c:numRef>
          </c:xVal>
          <c:yVal>
            <c:numRef>
              <c:f>'Weapon damage values'!$L$6:$L$65</c:f>
              <c:numCache/>
            </c:numRef>
          </c:yVal>
        </c:ser>
        <c:ser>
          <c:idx val="5"/>
          <c:order val="5"/>
          <c:tx>
            <c:v>Splat Roller – Inkling on the go</c:v>
          </c:tx>
          <c:spPr>
            <a:ln>
              <a:noFill/>
            </a:ln>
          </c:spPr>
          <c:marker>
            <c:symbol val="circle"/>
            <c:size val="7"/>
            <c:spPr>
              <a:solidFill>
                <a:srgbClr val="0084D1"/>
              </a:solidFill>
              <a:ln cmpd="sng">
                <a:solidFill>
                  <a:srgbClr val="0084D1"/>
                </a:solidFill>
              </a:ln>
            </c:spPr>
          </c:marker>
          <c:xVal>
            <c:numRef>
              <c:f>'Weapon damage values'!$A$6:$A$65</c:f>
            </c:numRef>
          </c:xVal>
          <c:yVal>
            <c:numRef>
              <c:f>'Weapon damage values'!$M$6:$M$65</c:f>
              <c:numCache/>
            </c:numRef>
          </c:yVal>
        </c:ser>
        <c:ser>
          <c:idx val="6"/>
          <c:order val="6"/>
          <c:tx>
            <c:v>Dynamo Roller – Horizontal swing</c:v>
          </c:tx>
          <c:spPr>
            <a:ln>
              <a:noFill/>
            </a:ln>
          </c:spPr>
          <c:marker>
            <c:symbol val="circle"/>
            <c:size val="7"/>
            <c:spPr>
              <a:solidFill>
                <a:srgbClr val="004586"/>
              </a:solidFill>
              <a:ln cmpd="sng">
                <a:solidFill>
                  <a:srgbClr val="004586"/>
                </a:solidFill>
              </a:ln>
            </c:spPr>
          </c:marker>
          <c:xVal>
            <c:numRef>
              <c:f>'Weapon damage values'!$A$6:$A$65</c:f>
            </c:numRef>
          </c:xVal>
          <c:yVal>
            <c:numRef>
              <c:f>'Weapon damage values'!$N$6:$N$65</c:f>
              <c:numCache/>
            </c:numRef>
          </c:yVal>
        </c:ser>
        <c:ser>
          <c:idx val="7"/>
          <c:order val="7"/>
          <c:tx>
            <c:v>Dynamo Roller – Vertical swing</c:v>
          </c:tx>
          <c:spPr>
            <a:ln>
              <a:noFill/>
            </a:ln>
          </c:spPr>
          <c:marker>
            <c:symbol val="circle"/>
            <c:size val="7"/>
            <c:spPr>
              <a:solidFill>
                <a:srgbClr val="FF420E"/>
              </a:solidFill>
              <a:ln cmpd="sng">
                <a:solidFill>
                  <a:srgbClr val="FF420E"/>
                </a:solidFill>
              </a:ln>
            </c:spPr>
          </c:marker>
          <c:xVal>
            <c:numRef>
              <c:f>'Weapon damage values'!$A$6:$A$65</c:f>
            </c:numRef>
          </c:xVal>
          <c:yVal>
            <c:numRef>
              <c:f>'Weapon damage values'!$O$6:$O$65</c:f>
              <c:numCache/>
            </c:numRef>
          </c:yVal>
        </c:ser>
        <c:ser>
          <c:idx val="8"/>
          <c:order val="8"/>
          <c:tx>
            <c:v>Dynamo Roller – Inkling on the go</c:v>
          </c:tx>
          <c:spPr>
            <a:ln>
              <a:noFill/>
            </a:ln>
          </c:spPr>
          <c:marker>
            <c:symbol val="circle"/>
            <c:size val="7"/>
            <c:spPr>
              <a:solidFill>
                <a:srgbClr val="FFD320"/>
              </a:solidFill>
              <a:ln cmpd="sng">
                <a:solidFill>
                  <a:srgbClr val="FFD320"/>
                </a:solidFill>
              </a:ln>
            </c:spPr>
          </c:marker>
          <c:xVal>
            <c:numRef>
              <c:f>'Weapon damage values'!$A$6:$A$65</c:f>
            </c:numRef>
          </c:xVal>
          <c:yVal>
            <c:numRef>
              <c:f>'Weapon damage values'!$P$6:$P$65</c:f>
              <c:numCache/>
            </c:numRef>
          </c:yVal>
        </c:ser>
        <c:ser>
          <c:idx val="9"/>
          <c:order val="9"/>
          <c:tx>
            <c:v>E-liter – Full charge</c:v>
          </c:tx>
          <c:spPr>
            <a:ln>
              <a:noFill/>
            </a:ln>
          </c:spPr>
          <c:marker>
            <c:symbol val="circle"/>
            <c:size val="7"/>
            <c:spPr>
              <a:solidFill>
                <a:srgbClr val="579D1C"/>
              </a:solidFill>
              <a:ln cmpd="sng">
                <a:solidFill>
                  <a:srgbClr val="579D1C"/>
                </a:solidFill>
              </a:ln>
            </c:spPr>
          </c:marker>
          <c:xVal>
            <c:numRef>
              <c:f>'Weapon damage values'!$A$6:$A$65</c:f>
            </c:numRef>
          </c:xVal>
          <c:yVal>
            <c:numRef>
              <c:f>'Weapon damage values'!$Q$6:$Q$65</c:f>
              <c:numCache/>
            </c:numRef>
          </c:yVal>
        </c:ser>
        <c:ser>
          <c:idx val="10"/>
          <c:order val="10"/>
          <c:tx>
            <c:v>E-liter – Minimum charge</c:v>
          </c:tx>
          <c:spPr>
            <a:ln>
              <a:noFill/>
            </a:ln>
          </c:spPr>
          <c:marker>
            <c:symbol val="circle"/>
            <c:size val="7"/>
            <c:spPr>
              <a:solidFill>
                <a:srgbClr val="7E0021"/>
              </a:solidFill>
              <a:ln cmpd="sng">
                <a:solidFill>
                  <a:srgbClr val="7E0021"/>
                </a:solidFill>
              </a:ln>
            </c:spPr>
          </c:marker>
          <c:xVal>
            <c:numRef>
              <c:f>'Weapon damage values'!$A$6:$A$65</c:f>
            </c:numRef>
          </c:xVal>
          <c:yVal>
            <c:numRef>
              <c:f>'Weapon damage values'!$R$6:$R$65</c:f>
              <c:numCache/>
            </c:numRef>
          </c:yVal>
        </c:ser>
        <c:ser>
          <c:idx val="11"/>
          <c:order val="11"/>
          <c:tx>
            <c:v>Splat Charger – Full charge</c:v>
          </c:tx>
          <c:spPr>
            <a:ln>
              <a:noFill/>
            </a:ln>
          </c:spPr>
          <c:marker>
            <c:symbol val="circle"/>
            <c:size val="7"/>
            <c:spPr>
              <a:solidFill>
                <a:srgbClr val="314004"/>
              </a:solidFill>
              <a:ln cmpd="sng">
                <a:solidFill>
                  <a:srgbClr val="314004"/>
                </a:solidFill>
              </a:ln>
            </c:spPr>
          </c:marker>
          <c:xVal>
            <c:numRef>
              <c:f>'Weapon damage values'!$A$6:$A$65</c:f>
            </c:numRef>
          </c:xVal>
          <c:yVal>
            <c:numRef>
              <c:f>'Weapon damage values'!$T$6:$T$65</c:f>
              <c:numCache/>
            </c:numRef>
          </c:yVal>
        </c:ser>
        <c:ser>
          <c:idx val="12"/>
          <c:order val="12"/>
          <c:tx>
            <c:v>Splat Charger – Minimum charge</c:v>
          </c:tx>
          <c:spPr>
            <a:ln>
              <a:noFill/>
            </a:ln>
          </c:spPr>
          <c:marker>
            <c:symbol val="circle"/>
            <c:size val="7"/>
            <c:spPr>
              <a:solidFill>
                <a:srgbClr val="AECF00"/>
              </a:solidFill>
              <a:ln cmpd="sng">
                <a:solidFill>
                  <a:srgbClr val="AECF00"/>
                </a:solidFill>
              </a:ln>
            </c:spPr>
          </c:marker>
          <c:xVal>
            <c:numRef>
              <c:f>'Weapon damage values'!$A$6:$A$65</c:f>
            </c:numRef>
          </c:xVal>
          <c:yVal>
            <c:numRef>
              <c:f>'Weapon damage values'!$U$6:$U$65</c:f>
              <c:numCache/>
            </c:numRef>
          </c:yVal>
        </c:ser>
        <c:ser>
          <c:idx val="13"/>
          <c:order val="13"/>
          <c:tx>
            <c:v>Slosher – Single slosh</c:v>
          </c:tx>
          <c:spPr>
            <a:ln>
              <a:noFill/>
            </a:ln>
          </c:spPr>
          <c:marker>
            <c:symbol val="circle"/>
            <c:size val="7"/>
            <c:spPr>
              <a:solidFill>
                <a:srgbClr val="FF950E"/>
              </a:solidFill>
              <a:ln cmpd="sng">
                <a:solidFill>
                  <a:srgbClr val="FF950E"/>
                </a:solidFill>
              </a:ln>
            </c:spPr>
          </c:marker>
          <c:xVal>
            <c:numRef>
              <c:f>'Weapon damage values'!$A$6:$A$65</c:f>
            </c:numRef>
          </c:xVal>
          <c:yVal>
            <c:numRef>
              <c:f>'Weapon damage values'!$W$6:$W$65</c:f>
              <c:numCache/>
            </c:numRef>
          </c:yVal>
        </c:ser>
        <c:ser>
          <c:idx val="14"/>
          <c:order val="14"/>
          <c:tx>
            <c:v>Sloshing Machine – Direct hit</c:v>
          </c:tx>
          <c:spPr>
            <a:ln>
              <a:noFill/>
            </a:ln>
          </c:spPr>
          <c:marker>
            <c:symbol val="circle"/>
            <c:size val="7"/>
            <c:spPr>
              <a:solidFill>
                <a:srgbClr val="004586"/>
              </a:solidFill>
              <a:ln cmpd="sng">
                <a:solidFill>
                  <a:srgbClr val="004586"/>
                </a:solidFill>
              </a:ln>
            </c:spPr>
          </c:marker>
          <c:xVal>
            <c:numRef>
              <c:f>'Weapon damage values'!$A$6:$A$65</c:f>
            </c:numRef>
          </c:xVal>
          <c:yVal>
            <c:numRef>
              <c:f>'Weapon damage values'!$Z$6:$Z$65</c:f>
              <c:numCache/>
            </c:numRef>
          </c:yVal>
        </c:ser>
        <c:ser>
          <c:idx val="15"/>
          <c:order val="15"/>
          <c:tx>
            <c:v>Sloshing Machine - Explosion</c:v>
          </c:tx>
          <c:spPr>
            <a:ln>
              <a:noFill/>
            </a:ln>
          </c:spPr>
          <c:marker>
            <c:symbol val="circle"/>
            <c:size val="7"/>
            <c:spPr>
              <a:solidFill>
                <a:srgbClr val="FF420E"/>
              </a:solidFill>
              <a:ln cmpd="sng">
                <a:solidFill>
                  <a:srgbClr val="FF420E"/>
                </a:solidFill>
              </a:ln>
            </c:spPr>
          </c:marker>
          <c:xVal>
            <c:numRef>
              <c:f>'Weapon damage values'!$A$6:$A$65</c:f>
            </c:numRef>
          </c:xVal>
          <c:yVal>
            <c:numRef>
              <c:f>'Weapon damage values'!$AA$6:$AA$65</c:f>
              <c:numCache/>
            </c:numRef>
          </c:yVal>
        </c:ser>
        <c:ser>
          <c:idx val="16"/>
          <c:order val="16"/>
          <c:tx>
            <c:v>Heavy Splatling – Shot</c:v>
          </c:tx>
          <c:spPr>
            <a:ln>
              <a:noFill/>
            </a:ln>
          </c:spPr>
          <c:marker>
            <c:symbol val="circle"/>
            <c:size val="7"/>
            <c:spPr>
              <a:solidFill>
                <a:srgbClr val="579D1C"/>
              </a:solidFill>
              <a:ln cmpd="sng">
                <a:solidFill>
                  <a:srgbClr val="579D1C"/>
                </a:solidFill>
              </a:ln>
            </c:spPr>
          </c:marker>
          <c:xVal>
            <c:numRef>
              <c:f>'Weapon damage values'!$A$6:$A$65</c:f>
            </c:numRef>
          </c:xVal>
          <c:yVal>
            <c:numRef>
              <c:f>'Weapon damage values'!$AC$6:$AC$65</c:f>
              <c:numCache/>
            </c:numRef>
          </c:yVal>
        </c:ser>
        <c:ser>
          <c:idx val="17"/>
          <c:order val="17"/>
          <c:tx>
            <c:v>Mini Splatling – Shot</c:v>
          </c:tx>
          <c:spPr>
            <a:ln>
              <a:noFill/>
            </a:ln>
          </c:spPr>
          <c:marker>
            <c:symbol val="circle"/>
            <c:size val="7"/>
            <c:spPr>
              <a:solidFill>
                <a:srgbClr val="314004"/>
              </a:solidFill>
              <a:ln cmpd="sng">
                <a:solidFill>
                  <a:srgbClr val="314004"/>
                </a:solidFill>
              </a:ln>
            </c:spPr>
          </c:marker>
          <c:xVal>
            <c:numRef>
              <c:f>'Weapon damage values'!$A$6:$A$65</c:f>
            </c:numRef>
          </c:xVal>
          <c:yVal>
            <c:numRef>
              <c:f>'Weapon damage values'!$AF$6:$AF$65</c:f>
              <c:numCache/>
            </c:numRef>
          </c:yVal>
        </c:ser>
        <c:ser>
          <c:idx val="18"/>
          <c:order val="18"/>
          <c:tx>
            <c:v>Splat Dualies – Shot</c:v>
          </c:tx>
          <c:spPr>
            <a:ln>
              <a:noFill/>
            </a:ln>
          </c:spPr>
          <c:marker>
            <c:symbol val="circle"/>
            <c:size val="7"/>
            <c:spPr>
              <a:solidFill>
                <a:srgbClr val="FF950E"/>
              </a:solidFill>
              <a:ln cmpd="sng">
                <a:solidFill>
                  <a:srgbClr val="FF950E"/>
                </a:solidFill>
              </a:ln>
            </c:spPr>
          </c:marker>
          <c:xVal>
            <c:numRef>
              <c:f>'Weapon damage values'!$A$6:$A$65</c:f>
            </c:numRef>
          </c:xVal>
          <c:yVal>
            <c:numRef>
              <c:f>'Weapon damage values'!$AI$6:$AI$65</c:f>
              <c:numCache/>
            </c:numRef>
          </c:yVal>
        </c:ser>
        <c:ser>
          <c:idx val="19"/>
          <c:order val="19"/>
          <c:tx>
            <c:v>Glooga Dualies – Pre-Dodge Roll</c:v>
          </c:tx>
          <c:spPr>
            <a:ln>
              <a:noFill/>
            </a:ln>
          </c:spPr>
          <c:marker>
            <c:symbol val="circle"/>
            <c:size val="7"/>
            <c:spPr>
              <a:solidFill>
                <a:srgbClr val="004586"/>
              </a:solidFill>
              <a:ln cmpd="sng">
                <a:solidFill>
                  <a:srgbClr val="004586"/>
                </a:solidFill>
              </a:ln>
            </c:spPr>
          </c:marker>
          <c:xVal>
            <c:numRef>
              <c:f>'Weapon damage values'!$A$6:$A$65</c:f>
            </c:numRef>
          </c:xVal>
          <c:yVal>
            <c:numRef>
              <c:f>'Weapon damage values'!$AL$6:$AL$65</c:f>
              <c:numCache/>
            </c:numRef>
          </c:yVal>
        </c:ser>
        <c:ser>
          <c:idx val="20"/>
          <c:order val="20"/>
          <c:tx>
            <c:v>Glooga Dualies – Post-Dodge Roll</c:v>
          </c:tx>
          <c:spPr>
            <a:ln>
              <a:noFill/>
            </a:ln>
          </c:spPr>
          <c:marker>
            <c:symbol val="circle"/>
            <c:size val="7"/>
            <c:spPr>
              <a:solidFill>
                <a:srgbClr val="FF420E"/>
              </a:solidFill>
              <a:ln cmpd="sng">
                <a:solidFill>
                  <a:srgbClr val="FF420E"/>
                </a:solidFill>
              </a:ln>
            </c:spPr>
          </c:marker>
          <c:xVal>
            <c:numRef>
              <c:f>'Weapon damage values'!$A$6:$A$65</c:f>
            </c:numRef>
          </c:xVal>
          <c:yVal>
            <c:numRef>
              <c:f>'Weapon damage values'!$AM$6:$AM$65</c:f>
              <c:numCache/>
            </c:numRef>
          </c:yVal>
        </c:ser>
        <c:ser>
          <c:idx val="21"/>
          <c:order val="21"/>
          <c:tx>
            <c:v>Splat Brella – All shots hit</c:v>
          </c:tx>
          <c:spPr>
            <a:ln>
              <a:noFill/>
            </a:ln>
          </c:spPr>
          <c:marker>
            <c:symbol val="circle"/>
            <c:size val="7"/>
            <c:spPr>
              <a:solidFill>
                <a:srgbClr val="579D1C"/>
              </a:solidFill>
              <a:ln cmpd="sng">
                <a:solidFill>
                  <a:srgbClr val="579D1C"/>
                </a:solidFill>
              </a:ln>
            </c:spPr>
          </c:marker>
          <c:xVal>
            <c:numRef>
              <c:f>'Weapon damage values'!$A$6:$A$65</c:f>
            </c:numRef>
          </c:xVal>
          <c:yVal>
            <c:numRef>
              <c:f>'Weapon damage values'!$AO$6:$AO$65</c:f>
              <c:numCache/>
            </c:numRef>
          </c:yVal>
        </c:ser>
        <c:ser>
          <c:idx val="22"/>
          <c:order val="22"/>
          <c:tx>
            <c:v>Splat Brella – Single shot</c:v>
          </c:tx>
          <c:spPr>
            <a:ln>
              <a:noFill/>
            </a:ln>
          </c:spPr>
          <c:marker>
            <c:symbol val="circle"/>
            <c:size val="7"/>
            <c:spPr>
              <a:solidFill>
                <a:srgbClr val="7E0021"/>
              </a:solidFill>
              <a:ln cmpd="sng">
                <a:solidFill>
                  <a:srgbClr val="7E0021"/>
                </a:solidFill>
              </a:ln>
            </c:spPr>
          </c:marker>
          <c:xVal>
            <c:numRef>
              <c:f>'Weapon damage values'!$A$6:$A$65</c:f>
            </c:numRef>
          </c:xVal>
          <c:yVal>
            <c:numRef>
              <c:f>'Weapon damage values'!$AP$6:$AP$65</c:f>
              <c:numCache/>
            </c:numRef>
          </c:yVal>
        </c:ser>
        <c:ser>
          <c:idx val="23"/>
          <c:order val="23"/>
          <c:tx>
            <c:v>Splat Brella – Launched brella</c:v>
          </c:tx>
          <c:spPr>
            <a:ln>
              <a:noFill/>
            </a:ln>
          </c:spPr>
          <c:marker>
            <c:symbol val="circle"/>
            <c:size val="7"/>
            <c:spPr>
              <a:solidFill>
                <a:srgbClr val="83CAFF"/>
              </a:solidFill>
              <a:ln cmpd="sng">
                <a:solidFill>
                  <a:srgbClr val="83CAFF"/>
                </a:solidFill>
              </a:ln>
            </c:spPr>
          </c:marker>
          <c:xVal>
            <c:numRef>
              <c:f>'Weapon damage values'!$A$6:$A$65</c:f>
            </c:numRef>
          </c:xVal>
          <c:yVal>
            <c:numRef>
              <c:f>'Weapon damage values'!$AQ$6:$AQ$65</c:f>
              <c:numCache/>
            </c:numRef>
          </c:yVal>
        </c:ser>
        <c:ser>
          <c:idx val="24"/>
          <c:order val="24"/>
          <c:tx>
            <c:v>Tenta Brella – All shots hit</c:v>
          </c:tx>
          <c:spPr>
            <a:ln>
              <a:noFill/>
            </a:ln>
          </c:spPr>
          <c:marker>
            <c:symbol val="circle"/>
            <c:size val="7"/>
            <c:spPr>
              <a:solidFill>
                <a:srgbClr val="314004"/>
              </a:solidFill>
              <a:ln cmpd="sng">
                <a:solidFill>
                  <a:srgbClr val="314004"/>
                </a:solidFill>
              </a:ln>
            </c:spPr>
          </c:marker>
          <c:xVal>
            <c:numRef>
              <c:f>'Weapon damage values'!$A$6:$A$65</c:f>
            </c:numRef>
          </c:xVal>
          <c:yVal>
            <c:numRef>
              <c:f>'Weapon damage values'!$AR$6:$AR$65</c:f>
              <c:numCache/>
            </c:numRef>
          </c:yVal>
        </c:ser>
        <c:ser>
          <c:idx val="25"/>
          <c:order val="25"/>
          <c:tx>
            <c:v>Tenta Brella – Single shot</c:v>
          </c:tx>
          <c:spPr>
            <a:ln>
              <a:noFill/>
            </a:ln>
          </c:spPr>
          <c:marker>
            <c:symbol val="circle"/>
            <c:size val="7"/>
            <c:spPr>
              <a:solidFill>
                <a:srgbClr val="AECF00"/>
              </a:solidFill>
              <a:ln cmpd="sng">
                <a:solidFill>
                  <a:srgbClr val="AECF00"/>
                </a:solidFill>
              </a:ln>
            </c:spPr>
          </c:marker>
          <c:xVal>
            <c:numRef>
              <c:f>'Weapon damage values'!$A$6:$A$65</c:f>
            </c:numRef>
          </c:xVal>
          <c:yVal>
            <c:numRef>
              <c:f>'Weapon damage values'!$AS$6:$AS$65</c:f>
              <c:numCache/>
            </c:numRef>
          </c:yVal>
        </c:ser>
        <c:ser>
          <c:idx val="26"/>
          <c:order val="26"/>
          <c:tx>
            <c:v>Tenta Brella – Launched brella</c:v>
          </c:tx>
          <c:spPr>
            <a:ln>
              <a:noFill/>
            </a:ln>
          </c:spPr>
          <c:marker>
            <c:symbol val="circle"/>
            <c:size val="7"/>
            <c:spPr>
              <a:solidFill>
                <a:srgbClr val="4B1F6F"/>
              </a:solidFill>
              <a:ln cmpd="sng">
                <a:solidFill>
                  <a:srgbClr val="4B1F6F"/>
                </a:solidFill>
              </a:ln>
            </c:spPr>
          </c:marker>
          <c:xVal>
            <c:numRef>
              <c:f>'Weapon damage values'!$A$6:$A$65</c:f>
            </c:numRef>
          </c:xVal>
          <c:yVal>
            <c:numRef>
              <c:f>'Weapon damage values'!$AT$6:$AT$65</c:f>
              <c:numCache/>
            </c:numRef>
          </c:yVal>
        </c:ser>
        <c:ser>
          <c:idx val="27"/>
          <c:order val="27"/>
          <c:tx>
            <c:v>Blaster – Direct hit</c:v>
          </c:tx>
          <c:spPr>
            <a:ln>
              <a:noFill/>
            </a:ln>
          </c:spPr>
          <c:marker>
            <c:symbol val="circle"/>
            <c:size val="7"/>
            <c:spPr>
              <a:solidFill>
                <a:srgbClr val="FF950E"/>
              </a:solidFill>
              <a:ln cmpd="sng">
                <a:solidFill>
                  <a:srgbClr val="FF950E"/>
                </a:solidFill>
              </a:ln>
            </c:spPr>
          </c:marker>
          <c:xVal>
            <c:numRef>
              <c:f>'Weapon damage values'!$A$6:$A$65</c:f>
            </c:numRef>
          </c:xVal>
          <c:yVal>
            <c:numRef>
              <c:f>'Weapon damage values'!$AU$6:$AU$65</c:f>
              <c:numCache/>
            </c:numRef>
          </c:yVal>
        </c:ser>
        <c:ser>
          <c:idx val="28"/>
          <c:order val="28"/>
          <c:tx>
            <c:v>Blaster – Explosion (max)</c:v>
          </c:tx>
          <c:spPr>
            <a:ln>
              <a:noFill/>
            </a:ln>
          </c:spPr>
          <c:marker>
            <c:symbol val="circle"/>
            <c:size val="7"/>
            <c:spPr>
              <a:solidFill>
                <a:srgbClr val="C5000B"/>
              </a:solidFill>
              <a:ln cmpd="sng">
                <a:solidFill>
                  <a:srgbClr val="C5000B"/>
                </a:solidFill>
              </a:ln>
            </c:spPr>
          </c:marker>
          <c:xVal>
            <c:numRef>
              <c:f>'Weapon damage values'!$A$6:$A$65</c:f>
            </c:numRef>
          </c:xVal>
          <c:yVal>
            <c:numRef>
              <c:f>'Weapon damage values'!$AV$6:$AV$65</c:f>
              <c:numCache/>
            </c:numRef>
          </c:yVal>
        </c:ser>
        <c:ser>
          <c:idx val="29"/>
          <c:order val="29"/>
          <c:tx>
            <c:v>Blaster – Explosion (min)</c:v>
          </c:tx>
          <c:spPr>
            <a:ln>
              <a:noFill/>
            </a:ln>
          </c:spPr>
          <c:marker>
            <c:symbol val="circle"/>
            <c:size val="7"/>
            <c:spPr>
              <a:solidFill>
                <a:srgbClr val="0084D1"/>
              </a:solidFill>
              <a:ln cmpd="sng">
                <a:solidFill>
                  <a:srgbClr val="0084D1"/>
                </a:solidFill>
              </a:ln>
            </c:spPr>
          </c:marker>
          <c:xVal>
            <c:numRef>
              <c:f>'Weapon damage values'!$A$6:$A$65</c:f>
            </c:numRef>
          </c:xVal>
          <c:yVal>
            <c:numRef>
              <c:f>'Weapon damage values'!$AW$6:$AW$65</c:f>
              <c:numCache/>
            </c:numRef>
          </c:yVal>
        </c:ser>
        <c:ser>
          <c:idx val="30"/>
          <c:order val="30"/>
          <c:tx>
            <c:v>Rapid Blaster Pro – Direct hit</c:v>
          </c:tx>
          <c:spPr>
            <a:ln>
              <a:noFill/>
            </a:ln>
          </c:spPr>
          <c:marker>
            <c:symbol val="circle"/>
            <c:size val="7"/>
            <c:spPr>
              <a:solidFill>
                <a:srgbClr val="004586"/>
              </a:solidFill>
              <a:ln cmpd="sng">
                <a:solidFill>
                  <a:srgbClr val="004586"/>
                </a:solidFill>
              </a:ln>
            </c:spPr>
          </c:marker>
          <c:xVal>
            <c:numRef>
              <c:f>'Weapon damage values'!$A$6:$A$65</c:f>
            </c:numRef>
          </c:xVal>
          <c:yVal>
            <c:numRef>
              <c:f>'Weapon damage values'!$AX$6:$AX$65</c:f>
              <c:numCache/>
            </c:numRef>
          </c:yVal>
        </c:ser>
        <c:ser>
          <c:idx val="31"/>
          <c:order val="31"/>
          <c:tx>
            <c:v>Rapid Blaster Pro – Explosion</c:v>
          </c:tx>
          <c:spPr>
            <a:ln>
              <a:noFill/>
            </a:ln>
          </c:spPr>
          <c:marker>
            <c:symbol val="circle"/>
            <c:size val="7"/>
            <c:spPr>
              <a:solidFill>
                <a:srgbClr val="FF420E"/>
              </a:solidFill>
              <a:ln cmpd="sng">
                <a:solidFill>
                  <a:srgbClr val="FF420E"/>
                </a:solidFill>
              </a:ln>
            </c:spPr>
          </c:marker>
          <c:xVal>
            <c:numRef>
              <c:f>'Weapon damage values'!$A$6:$A$65</c:f>
            </c:numRef>
          </c:xVal>
          <c:yVal>
            <c:numRef>
              <c:f>'Weapon damage values'!$AY$6:$AY$65</c:f>
              <c:numCache/>
            </c:numRef>
          </c:yVal>
        </c:ser>
        <c:ser>
          <c:idx val="32"/>
          <c:order val="32"/>
          <c:tx>
            <c:v>Octobrush – Brush swing</c:v>
          </c:tx>
          <c:spPr>
            <a:ln>
              <a:noFill/>
            </a:ln>
          </c:spPr>
          <c:marker>
            <c:symbol val="circle"/>
            <c:size val="7"/>
            <c:spPr>
              <a:solidFill>
                <a:srgbClr val="579D1C"/>
              </a:solidFill>
              <a:ln cmpd="sng">
                <a:solidFill>
                  <a:srgbClr val="579D1C"/>
                </a:solidFill>
              </a:ln>
            </c:spPr>
          </c:marker>
          <c:xVal>
            <c:numRef>
              <c:f>'Weapon damage values'!$A$6:$A$65</c:f>
            </c:numRef>
          </c:xVal>
          <c:yVal>
            <c:numRef>
              <c:f>'Weapon damage values'!$BA$6:$BA$65</c:f>
              <c:numCache/>
            </c:numRef>
          </c:yVal>
        </c:ser>
        <c:ser>
          <c:idx val="33"/>
          <c:order val="33"/>
          <c:tx>
            <c:v>Octobrush – Inking on the go</c:v>
          </c:tx>
          <c:spPr>
            <a:ln>
              <a:noFill/>
            </a:ln>
          </c:spPr>
          <c:marker>
            <c:symbol val="circle"/>
            <c:size val="7"/>
            <c:spPr>
              <a:solidFill>
                <a:srgbClr val="7E0021"/>
              </a:solidFill>
              <a:ln cmpd="sng">
                <a:solidFill>
                  <a:srgbClr val="7E0021"/>
                </a:solidFill>
              </a:ln>
            </c:spPr>
          </c:marker>
          <c:xVal>
            <c:numRef>
              <c:f>'Weapon damage values'!$A$6:$A$65</c:f>
            </c:numRef>
          </c:xVal>
          <c:yVal>
            <c:numRef>
              <c:f>'Weapon damage values'!$BB$6:$BB$65</c:f>
              <c:numCache/>
            </c:numRef>
          </c:yVal>
        </c:ser>
        <c:ser>
          <c:idx val="34"/>
          <c:order val="34"/>
          <c:tx>
            <c:v>Tri-Stringer – Explosion</c:v>
          </c:tx>
          <c:spPr>
            <a:ln>
              <a:noFill/>
            </a:ln>
          </c:spPr>
          <c:marker>
            <c:symbol val="circle"/>
            <c:size val="7"/>
            <c:spPr>
              <a:solidFill>
                <a:srgbClr val="314004"/>
              </a:solidFill>
              <a:ln cmpd="sng">
                <a:solidFill>
                  <a:srgbClr val="314004"/>
                </a:solidFill>
              </a:ln>
            </c:spPr>
          </c:marker>
          <c:xVal>
            <c:numRef>
              <c:f>'Weapon damage values'!$A$6:$A$65</c:f>
            </c:numRef>
          </c:xVal>
          <c:yVal>
            <c:numRef>
              <c:f>'Weapon damage values'!$BD$6:$BD$65</c:f>
              <c:numCache/>
            </c:numRef>
          </c:yVal>
        </c:ser>
        <c:ser>
          <c:idx val="35"/>
          <c:order val="35"/>
          <c:tx>
            <c:v>Tri-Sringer – Full charge</c:v>
          </c:tx>
          <c:spPr>
            <a:ln>
              <a:noFill/>
            </a:ln>
          </c:spPr>
          <c:marker>
            <c:symbol val="circle"/>
            <c:size val="7"/>
            <c:spPr>
              <a:solidFill>
                <a:srgbClr val="AECF00"/>
              </a:solidFill>
              <a:ln cmpd="sng">
                <a:solidFill>
                  <a:srgbClr val="AECF00"/>
                </a:solidFill>
              </a:ln>
            </c:spPr>
          </c:marker>
          <c:xVal>
            <c:numRef>
              <c:f>'Weapon damage values'!$A$6:$A$65</c:f>
            </c:numRef>
          </c:xVal>
          <c:yVal>
            <c:numRef>
              <c:f>'Weapon damage values'!$BE$6:$BE$65</c:f>
              <c:numCache/>
            </c:numRef>
          </c:yVal>
        </c:ser>
        <c:ser>
          <c:idx val="36"/>
          <c:order val="36"/>
          <c:tx>
            <c:v>Tri-Stringer – Minimum charge</c:v>
          </c:tx>
          <c:spPr>
            <a:ln>
              <a:noFill/>
            </a:ln>
          </c:spPr>
          <c:marker>
            <c:symbol val="circle"/>
            <c:size val="7"/>
            <c:spPr>
              <a:solidFill>
                <a:srgbClr val="4B1F6F"/>
              </a:solidFill>
              <a:ln cmpd="sng">
                <a:solidFill>
                  <a:srgbClr val="4B1F6F"/>
                </a:solidFill>
              </a:ln>
            </c:spPr>
          </c:marker>
          <c:xVal>
            <c:numRef>
              <c:f>'Weapon damage values'!$A$6:$A$65</c:f>
            </c:numRef>
          </c:xVal>
          <c:yVal>
            <c:numRef>
              <c:f>'Weapon damage values'!$BF$6:$BF$65</c:f>
              <c:numCache/>
            </c:numRef>
          </c:yVal>
        </c:ser>
        <c:ser>
          <c:idx val="37"/>
          <c:order val="37"/>
          <c:tx>
            <c:v>Splatana Stamper – Horizontal slash</c:v>
          </c:tx>
          <c:spPr>
            <a:ln>
              <a:noFill/>
            </a:ln>
          </c:spPr>
          <c:marker>
            <c:symbol val="circle"/>
            <c:size val="7"/>
            <c:spPr>
              <a:solidFill>
                <a:srgbClr val="FF950E"/>
              </a:solidFill>
              <a:ln cmpd="sng">
                <a:solidFill>
                  <a:srgbClr val="FF950E"/>
                </a:solidFill>
              </a:ln>
            </c:spPr>
          </c:marker>
          <c:xVal>
            <c:numRef>
              <c:f>'Weapon damage values'!$A$6:$A$65</c:f>
            </c:numRef>
          </c:xVal>
          <c:yVal>
            <c:numRef>
              <c:f>'Weapon damage values'!$BG$6:$BG$65</c:f>
              <c:numCache/>
            </c:numRef>
          </c:yVal>
        </c:ser>
        <c:ser>
          <c:idx val="38"/>
          <c:order val="38"/>
          <c:tx>
            <c:v>Splatana Stamper – Charged slash</c:v>
          </c:tx>
          <c:spPr>
            <a:ln>
              <a:noFill/>
            </a:ln>
          </c:spPr>
          <c:marker>
            <c:symbol val="circle"/>
            <c:size val="7"/>
            <c:spPr>
              <a:solidFill>
                <a:srgbClr val="C5000B"/>
              </a:solidFill>
              <a:ln cmpd="sng">
                <a:solidFill>
                  <a:srgbClr val="C5000B"/>
                </a:solidFill>
              </a:ln>
            </c:spPr>
          </c:marker>
          <c:xVal>
            <c:numRef>
              <c:f>'Weapon damage values'!$A$6:$A$65</c:f>
            </c:numRef>
          </c:xVal>
          <c:yVal>
            <c:numRef>
              <c:f>'Weapon damage values'!$BH$6:$BH$65</c:f>
              <c:numCache/>
            </c:numRef>
          </c:yVal>
        </c:ser>
        <c:dLbls>
          <c:showLegendKey val="0"/>
          <c:showVal val="0"/>
          <c:showCatName val="0"/>
          <c:showSerName val="0"/>
          <c:showPercent val="0"/>
          <c:showBubbleSize val="0"/>
        </c:dLbls>
        <c:axId val="2003995555"/>
        <c:axId val="1493914777"/>
      </c:scatterChart>
      <c:valAx>
        <c:axId val="2003995555"/>
        <c:scaling>
          <c:orientation val="minMax"/>
          <c:max val="6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1493914777"/>
      </c:valAx>
      <c:valAx>
        <c:axId val="1493914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1000">
                <a:solidFill>
                  <a:srgbClr val="000000"/>
                </a:solidFill>
                <a:latin typeface="Arial"/>
              </a:defRPr>
            </a:pPr>
          </a:p>
        </c:txPr>
        <c:crossAx val="2003995555"/>
      </c:valAx>
    </c:plotArea>
    <c:legend>
      <c:legendPos val="r"/>
      <c:layout>
        <c:manualLayout>
          <c:xMode val="edge"/>
          <c:yMode val="edge"/>
          <c:x val="0.8347392057869117"/>
          <c:y val="0.0226553092806493"/>
        </c:manualLayout>
      </c:layout>
      <c:overlay val="0"/>
      <c:txPr>
        <a:bodyPr/>
        <a:lstStyle/>
        <a:p>
          <a:pPr lvl="0">
            <a:defRPr b="0" i="0" sz="1000">
              <a:solidFill>
                <a:srgbClr val="1A1A1A"/>
              </a:solidFill>
              <a:latin typeface="Arial"/>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(Level 50 player, +400% weapon damage) Weapon values per weapon level (sorted)</a:t>
            </a:r>
          </a:p>
        </c:rich>
      </c:tx>
      <c:layout>
        <c:manualLayout>
          <c:xMode val="edge"/>
          <c:yMode val="edge"/>
          <c:x val="0.043958868894601544"/>
          <c:y val="0.01997929606625259"/>
        </c:manualLayout>
      </c:layout>
      <c:overlay val="0"/>
    </c:title>
    <c:plotArea>
      <c:layout>
        <c:manualLayout>
          <c:xMode val="edge"/>
          <c:yMode val="edge"/>
          <c:x val="0.0735973597359736"/>
          <c:y val="0.06055900621118013"/>
          <c:w val="0.693069306930693"/>
          <c:h val="0.8397515527950311"/>
        </c:manualLayout>
      </c:layout>
      <c:scatterChart>
        <c:scatterStyle val="lineMarker"/>
        <c:ser>
          <c:idx val="0"/>
          <c:order val="0"/>
          <c:tx>
            <c:strRef>
              <c:f>'(or sorted)'!$B$1</c:f>
            </c:strRef>
          </c:tx>
          <c:spPr>
            <a:ln>
              <a:noFill/>
            </a:ln>
          </c:spPr>
          <c:marker>
            <c:symbol val="circle"/>
            <c:size val="7"/>
            <c:spPr>
              <a:solidFill>
                <a:schemeClr val="accent1"/>
              </a:solidFill>
              <a:ln cmpd="sng">
                <a:solidFill>
                  <a:schemeClr val="accent1"/>
                </a:solidFill>
              </a:ln>
            </c:spPr>
          </c:marker>
          <c:xVal>
            <c:numRef>
              <c:f>'(or sorted)'!$A$2:$A$62</c:f>
            </c:numRef>
          </c:xVal>
          <c:yVal>
            <c:numRef>
              <c:f>'(or sorted)'!$B$2:$B$62</c:f>
              <c:numCache/>
            </c:numRef>
          </c:yVal>
        </c:ser>
        <c:ser>
          <c:idx val="1"/>
          <c:order val="1"/>
          <c:tx>
            <c:strRef>
              <c:f>'(or sorted)'!$C$1</c:f>
            </c:strRef>
          </c:tx>
          <c:spPr>
            <a:ln>
              <a:noFill/>
            </a:ln>
          </c:spPr>
          <c:marker>
            <c:symbol val="circle"/>
            <c:size val="7"/>
            <c:spPr>
              <a:solidFill>
                <a:schemeClr val="accent2"/>
              </a:solidFill>
              <a:ln cmpd="sng">
                <a:solidFill>
                  <a:schemeClr val="accent2"/>
                </a:solidFill>
              </a:ln>
            </c:spPr>
          </c:marker>
          <c:xVal>
            <c:numRef>
              <c:f>'(or sorted)'!$A$2:$A$62</c:f>
            </c:numRef>
          </c:xVal>
          <c:yVal>
            <c:numRef>
              <c:f>'(or sorted)'!$C$2:$C$62</c:f>
              <c:numCache/>
            </c:numRef>
          </c:yVal>
        </c:ser>
        <c:ser>
          <c:idx val="2"/>
          <c:order val="2"/>
          <c:tx>
            <c:strRef>
              <c:f>'(or sorted)'!$D$1</c:f>
            </c:strRef>
          </c:tx>
          <c:spPr>
            <a:ln>
              <a:noFill/>
            </a:ln>
          </c:spPr>
          <c:marker>
            <c:symbol val="circle"/>
            <c:size val="7"/>
            <c:spPr>
              <a:solidFill>
                <a:schemeClr val="accent3"/>
              </a:solidFill>
              <a:ln cmpd="sng">
                <a:solidFill>
                  <a:schemeClr val="accent3"/>
                </a:solidFill>
              </a:ln>
            </c:spPr>
          </c:marker>
          <c:xVal>
            <c:numRef>
              <c:f>'(or sorted)'!$A$2:$A$62</c:f>
            </c:numRef>
          </c:xVal>
          <c:yVal>
            <c:numRef>
              <c:f>'(or sorted)'!$D$2:$D$62</c:f>
              <c:numCache/>
            </c:numRef>
          </c:yVal>
        </c:ser>
        <c:ser>
          <c:idx val="3"/>
          <c:order val="3"/>
          <c:tx>
            <c:strRef>
              <c:f>'(or sorted)'!$E$1</c:f>
            </c:strRef>
          </c:tx>
          <c:spPr>
            <a:ln>
              <a:noFill/>
            </a:ln>
          </c:spPr>
          <c:marker>
            <c:symbol val="circle"/>
            <c:size val="7"/>
            <c:spPr>
              <a:solidFill>
                <a:schemeClr val="accent4"/>
              </a:solidFill>
              <a:ln cmpd="sng">
                <a:solidFill>
                  <a:schemeClr val="accent4"/>
                </a:solidFill>
              </a:ln>
            </c:spPr>
          </c:marker>
          <c:xVal>
            <c:numRef>
              <c:f>'(or sorted)'!$A$2:$A$62</c:f>
            </c:numRef>
          </c:xVal>
          <c:yVal>
            <c:numRef>
              <c:f>'(or sorted)'!$E$2:$E$62</c:f>
              <c:numCache/>
            </c:numRef>
          </c:yVal>
        </c:ser>
        <c:ser>
          <c:idx val="4"/>
          <c:order val="4"/>
          <c:tx>
            <c:strRef>
              <c:f>'(or sorted)'!$F$1</c:f>
            </c:strRef>
          </c:tx>
          <c:spPr>
            <a:ln>
              <a:noFill/>
            </a:ln>
          </c:spPr>
          <c:marker>
            <c:symbol val="circle"/>
            <c:size val="7"/>
            <c:spPr>
              <a:solidFill>
                <a:schemeClr val="accent5"/>
              </a:solidFill>
              <a:ln cmpd="sng">
                <a:solidFill>
                  <a:schemeClr val="accent5"/>
                </a:solidFill>
              </a:ln>
            </c:spPr>
          </c:marker>
          <c:xVal>
            <c:numRef>
              <c:f>'(or sorted)'!$A$2:$A$62</c:f>
            </c:numRef>
          </c:xVal>
          <c:yVal>
            <c:numRef>
              <c:f>'(or sorted)'!$F$2:$F$62</c:f>
              <c:numCache/>
            </c:numRef>
          </c:yVal>
        </c:ser>
        <c:ser>
          <c:idx val="5"/>
          <c:order val="5"/>
          <c:tx>
            <c:strRef>
              <c:f>'(or sorted)'!$G$1</c:f>
            </c:strRef>
          </c:tx>
          <c:spPr>
            <a:ln>
              <a:noFill/>
            </a:ln>
          </c:spPr>
          <c:marker>
            <c:symbol val="circle"/>
            <c:size val="7"/>
            <c:spPr>
              <a:solidFill>
                <a:schemeClr val="accent6"/>
              </a:solidFill>
              <a:ln cmpd="sng">
                <a:solidFill>
                  <a:schemeClr val="accent6"/>
                </a:solidFill>
              </a:ln>
            </c:spPr>
          </c:marker>
          <c:xVal>
            <c:numRef>
              <c:f>'(or sorted)'!$A$2:$A$62</c:f>
            </c:numRef>
          </c:xVal>
          <c:yVal>
            <c:numRef>
              <c:f>'(or sorted)'!$G$2:$G$62</c:f>
              <c:numCache/>
            </c:numRef>
          </c:yVal>
        </c:ser>
        <c:ser>
          <c:idx val="6"/>
          <c:order val="6"/>
          <c:tx>
            <c:strRef>
              <c:f>'(or sorted)'!$H$1</c:f>
            </c:strRef>
          </c:tx>
          <c:spPr>
            <a:ln>
              <a:noFill/>
            </a:ln>
          </c:spPr>
          <c:marker>
            <c:symbol val="circle"/>
            <c:size val="7"/>
            <c:spPr>
              <a:solidFill>
                <a:schemeClr val="accent1">
                  <a:lumOff val="30000"/>
                </a:schemeClr>
              </a:solidFill>
              <a:ln cmpd="sng">
                <a:solidFill>
                  <a:schemeClr val="accent1">
                    <a:lumOff val="30000"/>
                  </a:schemeClr>
                </a:solidFill>
              </a:ln>
            </c:spPr>
          </c:marker>
          <c:xVal>
            <c:numRef>
              <c:f>'(or sorted)'!$A$2:$A$62</c:f>
            </c:numRef>
          </c:xVal>
          <c:yVal>
            <c:numRef>
              <c:f>'(or sorted)'!$H$2:$H$62</c:f>
              <c:numCache/>
            </c:numRef>
          </c:yVal>
        </c:ser>
        <c:ser>
          <c:idx val="7"/>
          <c:order val="7"/>
          <c:tx>
            <c:strRef>
              <c:f>'(or sorted)'!$I$1</c:f>
            </c:strRef>
          </c:tx>
          <c:spPr>
            <a:ln>
              <a:noFill/>
            </a:ln>
          </c:spPr>
          <c:marker>
            <c:symbol val="circle"/>
            <c:size val="7"/>
            <c:spPr>
              <a:solidFill>
                <a:schemeClr val="accent2">
                  <a:lumOff val="30000"/>
                </a:schemeClr>
              </a:solidFill>
              <a:ln cmpd="sng">
                <a:solidFill>
                  <a:schemeClr val="accent2">
                    <a:lumOff val="30000"/>
                  </a:schemeClr>
                </a:solidFill>
              </a:ln>
            </c:spPr>
          </c:marker>
          <c:xVal>
            <c:numRef>
              <c:f>'(or sorted)'!$A$2:$A$62</c:f>
            </c:numRef>
          </c:xVal>
          <c:yVal>
            <c:numRef>
              <c:f>'(or sorted)'!$I$2:$I$62</c:f>
              <c:numCache/>
            </c:numRef>
          </c:yVal>
        </c:ser>
        <c:ser>
          <c:idx val="8"/>
          <c:order val="8"/>
          <c:tx>
            <c:strRef>
              <c:f>'(or sorted)'!$J$1</c:f>
            </c:strRef>
          </c:tx>
          <c:spPr>
            <a:ln>
              <a:noFill/>
            </a:ln>
          </c:spPr>
          <c:marker>
            <c:symbol val="circle"/>
            <c:size val="7"/>
            <c:spPr>
              <a:solidFill>
                <a:schemeClr val="accent3">
                  <a:lumOff val="30000"/>
                </a:schemeClr>
              </a:solidFill>
              <a:ln cmpd="sng">
                <a:solidFill>
                  <a:schemeClr val="accent3">
                    <a:lumOff val="30000"/>
                  </a:schemeClr>
                </a:solidFill>
              </a:ln>
            </c:spPr>
          </c:marker>
          <c:xVal>
            <c:numRef>
              <c:f>'(or sorted)'!$A$2:$A$62</c:f>
            </c:numRef>
          </c:xVal>
          <c:yVal>
            <c:numRef>
              <c:f>'(or sorted)'!$J$2:$J$62</c:f>
              <c:numCache/>
            </c:numRef>
          </c:yVal>
        </c:ser>
        <c:ser>
          <c:idx val="9"/>
          <c:order val="9"/>
          <c:tx>
            <c:strRef>
              <c:f>'(or sorted)'!$K$1</c:f>
            </c:strRef>
          </c:tx>
          <c:spPr>
            <a:ln>
              <a:noFill/>
            </a:ln>
          </c:spPr>
          <c:marker>
            <c:symbol val="circle"/>
            <c:size val="7"/>
            <c:spPr>
              <a:solidFill>
                <a:schemeClr val="accent4">
                  <a:lumOff val="30000"/>
                </a:schemeClr>
              </a:solidFill>
              <a:ln cmpd="sng">
                <a:solidFill>
                  <a:schemeClr val="accent4">
                    <a:lumOff val="30000"/>
                  </a:schemeClr>
                </a:solidFill>
              </a:ln>
            </c:spPr>
          </c:marker>
          <c:xVal>
            <c:numRef>
              <c:f>'(or sorted)'!$A$2:$A$62</c:f>
            </c:numRef>
          </c:xVal>
          <c:yVal>
            <c:numRef>
              <c:f>'(or sorted)'!$K$2:$K$62</c:f>
              <c:numCache/>
            </c:numRef>
          </c:yVal>
        </c:ser>
        <c:ser>
          <c:idx val="10"/>
          <c:order val="10"/>
          <c:tx>
            <c:strRef>
              <c:f>'(or sorted)'!$L$1</c:f>
            </c:strRef>
          </c:tx>
          <c:spPr>
            <a:ln>
              <a:noFill/>
            </a:ln>
          </c:spPr>
          <c:marker>
            <c:symbol val="circle"/>
            <c:size val="7"/>
            <c:spPr>
              <a:solidFill>
                <a:schemeClr val="accent5">
                  <a:lumOff val="30000"/>
                </a:schemeClr>
              </a:solidFill>
              <a:ln cmpd="sng">
                <a:solidFill>
                  <a:schemeClr val="accent5">
                    <a:lumOff val="30000"/>
                  </a:schemeClr>
                </a:solidFill>
              </a:ln>
            </c:spPr>
          </c:marker>
          <c:xVal>
            <c:numRef>
              <c:f>'(or sorted)'!$A$2:$A$62</c:f>
            </c:numRef>
          </c:xVal>
          <c:yVal>
            <c:numRef>
              <c:f>'(or sorted)'!$L$2:$L$62</c:f>
              <c:numCache/>
            </c:numRef>
          </c:yVal>
        </c:ser>
        <c:ser>
          <c:idx val="11"/>
          <c:order val="11"/>
          <c:tx>
            <c:strRef>
              <c:f>'(or sorted)'!$M$1</c:f>
            </c:strRef>
          </c:tx>
          <c:spPr>
            <a:ln>
              <a:noFill/>
            </a:ln>
          </c:spPr>
          <c:marker>
            <c:symbol val="circle"/>
            <c:size val="7"/>
            <c:spPr>
              <a:solidFill>
                <a:schemeClr val="accent6">
                  <a:lumOff val="30000"/>
                </a:schemeClr>
              </a:solidFill>
              <a:ln cmpd="sng">
                <a:solidFill>
                  <a:schemeClr val="accent6">
                    <a:lumOff val="30000"/>
                  </a:schemeClr>
                </a:solidFill>
              </a:ln>
            </c:spPr>
          </c:marker>
          <c:xVal>
            <c:numRef>
              <c:f>'(or sorted)'!$A$2:$A$62</c:f>
            </c:numRef>
          </c:xVal>
          <c:yVal>
            <c:numRef>
              <c:f>'(or sorted)'!$M$2:$M$62</c:f>
              <c:numCache/>
            </c:numRef>
          </c:yVal>
        </c:ser>
        <c:ser>
          <c:idx val="12"/>
          <c:order val="12"/>
          <c:tx>
            <c:strRef>
              <c:f>'(or sorted)'!$N$1</c:f>
            </c:strRef>
          </c:tx>
          <c:spPr>
            <a:ln>
              <a:noFill/>
            </a:ln>
          </c:spPr>
          <c:marker>
            <c:symbol val="circle"/>
            <c:size val="7"/>
            <c:spPr>
              <a:solidFill>
                <a:schemeClr val="accent1">
                  <a:lumOff val="60000"/>
                </a:schemeClr>
              </a:solidFill>
              <a:ln cmpd="sng">
                <a:solidFill>
                  <a:schemeClr val="accent1">
                    <a:lumOff val="60000"/>
                  </a:schemeClr>
                </a:solidFill>
              </a:ln>
            </c:spPr>
          </c:marker>
          <c:xVal>
            <c:numRef>
              <c:f>'(or sorted)'!$A$2:$A$62</c:f>
            </c:numRef>
          </c:xVal>
          <c:yVal>
            <c:numRef>
              <c:f>'(or sorted)'!$N$2:$N$62</c:f>
              <c:numCache/>
            </c:numRef>
          </c:yVal>
        </c:ser>
        <c:ser>
          <c:idx val="13"/>
          <c:order val="13"/>
          <c:tx>
            <c:strRef>
              <c:f>'(or sorted)'!$O$1</c:f>
            </c:strRef>
          </c:tx>
          <c:spPr>
            <a:ln>
              <a:noFill/>
            </a:ln>
          </c:spPr>
          <c:marker>
            <c:symbol val="circle"/>
            <c:size val="7"/>
            <c:spPr>
              <a:solidFill>
                <a:schemeClr val="accent2">
                  <a:lumOff val="60000"/>
                </a:schemeClr>
              </a:solidFill>
              <a:ln cmpd="sng">
                <a:solidFill>
                  <a:schemeClr val="accent2">
                    <a:lumOff val="60000"/>
                  </a:schemeClr>
                </a:solidFill>
              </a:ln>
            </c:spPr>
          </c:marker>
          <c:xVal>
            <c:numRef>
              <c:f>'(or sorted)'!$A$2:$A$62</c:f>
            </c:numRef>
          </c:xVal>
          <c:yVal>
            <c:numRef>
              <c:f>'(or sorted)'!$O$2:$O$62</c:f>
              <c:numCache/>
            </c:numRef>
          </c:yVal>
        </c:ser>
        <c:ser>
          <c:idx val="14"/>
          <c:order val="14"/>
          <c:tx>
            <c:strRef>
              <c:f>'(or sorted)'!$P$1</c:f>
            </c:strRef>
          </c:tx>
          <c:spPr>
            <a:ln>
              <a:noFill/>
            </a:ln>
          </c:spPr>
          <c:marker>
            <c:symbol val="circle"/>
            <c:size val="7"/>
            <c:spPr>
              <a:solidFill>
                <a:schemeClr val="accent3">
                  <a:lumOff val="60000"/>
                </a:schemeClr>
              </a:solidFill>
              <a:ln cmpd="sng">
                <a:solidFill>
                  <a:schemeClr val="accent3">
                    <a:lumOff val="60000"/>
                  </a:schemeClr>
                </a:solidFill>
              </a:ln>
            </c:spPr>
          </c:marker>
          <c:xVal>
            <c:numRef>
              <c:f>'(or sorted)'!$A$2:$A$62</c:f>
            </c:numRef>
          </c:xVal>
          <c:yVal>
            <c:numRef>
              <c:f>'(or sorted)'!$P$2:$P$62</c:f>
              <c:numCache/>
            </c:numRef>
          </c:yVal>
        </c:ser>
        <c:ser>
          <c:idx val="15"/>
          <c:order val="15"/>
          <c:tx>
            <c:strRef>
              <c:f>'(or sorted)'!$Q$1</c:f>
            </c:strRef>
          </c:tx>
          <c:spPr>
            <a:ln>
              <a:noFill/>
            </a:ln>
          </c:spPr>
          <c:marker>
            <c:symbol val="circle"/>
            <c:size val="7"/>
            <c:spPr>
              <a:solidFill>
                <a:schemeClr val="accent4">
                  <a:lumOff val="60000"/>
                </a:schemeClr>
              </a:solidFill>
              <a:ln cmpd="sng">
                <a:solidFill>
                  <a:schemeClr val="accent4">
                    <a:lumOff val="60000"/>
                  </a:schemeClr>
                </a:solidFill>
              </a:ln>
            </c:spPr>
          </c:marker>
          <c:xVal>
            <c:numRef>
              <c:f>'(or sorted)'!$A$2:$A$62</c:f>
            </c:numRef>
          </c:xVal>
          <c:yVal>
            <c:numRef>
              <c:f>'(or sorted)'!$Q$2:$Q$62</c:f>
              <c:numCache/>
            </c:numRef>
          </c:yVal>
        </c:ser>
        <c:ser>
          <c:idx val="16"/>
          <c:order val="16"/>
          <c:tx>
            <c:strRef>
              <c:f>'(or sorted)'!$R$1</c:f>
            </c:strRef>
          </c:tx>
          <c:spPr>
            <a:ln>
              <a:noFill/>
            </a:ln>
          </c:spPr>
          <c:marker>
            <c:symbol val="circle"/>
            <c:size val="7"/>
            <c:spPr>
              <a:solidFill>
                <a:schemeClr val="accent5">
                  <a:lumOff val="60000"/>
                </a:schemeClr>
              </a:solidFill>
              <a:ln cmpd="sng">
                <a:solidFill>
                  <a:schemeClr val="accent5">
                    <a:lumOff val="60000"/>
                  </a:schemeClr>
                </a:solidFill>
              </a:ln>
            </c:spPr>
          </c:marker>
          <c:xVal>
            <c:numRef>
              <c:f>'(or sorted)'!$A$2:$A$62</c:f>
            </c:numRef>
          </c:xVal>
          <c:yVal>
            <c:numRef>
              <c:f>'(or sorted)'!$R$2:$R$62</c:f>
              <c:numCache/>
            </c:numRef>
          </c:yVal>
        </c:ser>
        <c:ser>
          <c:idx val="17"/>
          <c:order val="17"/>
          <c:tx>
            <c:strRef>
              <c:f>'(or sorted)'!$S$1</c:f>
            </c:strRef>
          </c:tx>
          <c:spPr>
            <a:ln>
              <a:noFill/>
            </a:ln>
          </c:spPr>
          <c:marker>
            <c:symbol val="circle"/>
            <c:size val="7"/>
            <c:spPr>
              <a:solidFill>
                <a:schemeClr val="accent6">
                  <a:lumOff val="60000"/>
                </a:schemeClr>
              </a:solidFill>
              <a:ln cmpd="sng">
                <a:solidFill>
                  <a:schemeClr val="accent6">
                    <a:lumOff val="60000"/>
                  </a:schemeClr>
                </a:solidFill>
              </a:ln>
            </c:spPr>
          </c:marker>
          <c:xVal>
            <c:numRef>
              <c:f>'(or sorted)'!$A$2:$A$62</c:f>
            </c:numRef>
          </c:xVal>
          <c:yVal>
            <c:numRef>
              <c:f>'(or sorted)'!$S$2:$S$62</c:f>
              <c:numCache/>
            </c:numRef>
          </c:yVal>
        </c:ser>
        <c:ser>
          <c:idx val="18"/>
          <c:order val="18"/>
          <c:tx>
            <c:strRef>
              <c:f>'(or sorted)'!$T$1</c:f>
            </c:strRef>
          </c:tx>
          <c:spPr>
            <a:ln>
              <a:noFill/>
            </a:ln>
          </c:spPr>
          <c:marker>
            <c:symbol val="circle"/>
            <c:size val="7"/>
            <c:spPr>
              <a:solidFill>
                <a:schemeClr val="accent1">
                  <a:lumOff val="90000"/>
                </a:schemeClr>
              </a:solidFill>
              <a:ln cmpd="sng">
                <a:solidFill>
                  <a:schemeClr val="accent1">
                    <a:lumOff val="90000"/>
                  </a:schemeClr>
                </a:solidFill>
              </a:ln>
            </c:spPr>
          </c:marker>
          <c:xVal>
            <c:numRef>
              <c:f>'(or sorted)'!$A$2:$A$62</c:f>
            </c:numRef>
          </c:xVal>
          <c:yVal>
            <c:numRef>
              <c:f>'(or sorted)'!$T$2:$T$62</c:f>
              <c:numCache/>
            </c:numRef>
          </c:yVal>
        </c:ser>
        <c:ser>
          <c:idx val="19"/>
          <c:order val="19"/>
          <c:tx>
            <c:strRef>
              <c:f>'(or sorted)'!$U$1</c:f>
            </c:strRef>
          </c:tx>
          <c:spPr>
            <a:ln>
              <a:noFill/>
            </a:ln>
          </c:spPr>
          <c:marker>
            <c:symbol val="circle"/>
            <c:size val="7"/>
            <c:spPr>
              <a:solidFill>
                <a:schemeClr val="accent2">
                  <a:lumOff val="90000"/>
                </a:schemeClr>
              </a:solidFill>
              <a:ln cmpd="sng">
                <a:solidFill>
                  <a:schemeClr val="accent2">
                    <a:lumOff val="90000"/>
                  </a:schemeClr>
                </a:solidFill>
              </a:ln>
            </c:spPr>
          </c:marker>
          <c:xVal>
            <c:numRef>
              <c:f>'(or sorted)'!$A$2:$A$62</c:f>
            </c:numRef>
          </c:xVal>
          <c:yVal>
            <c:numRef>
              <c:f>'(or sorted)'!$U$2:$U$62</c:f>
              <c:numCache/>
            </c:numRef>
          </c:yVal>
        </c:ser>
        <c:ser>
          <c:idx val="20"/>
          <c:order val="20"/>
          <c:tx>
            <c:strRef>
              <c:f>'(or sorted)'!$V$1</c:f>
            </c:strRef>
          </c:tx>
          <c:spPr>
            <a:ln>
              <a:noFill/>
            </a:ln>
          </c:spPr>
          <c:marker>
            <c:symbol val="circle"/>
            <c:size val="7"/>
            <c:spPr>
              <a:solidFill>
                <a:schemeClr val="accent3">
                  <a:lumOff val="90000"/>
                </a:schemeClr>
              </a:solidFill>
              <a:ln cmpd="sng">
                <a:solidFill>
                  <a:schemeClr val="accent3">
                    <a:lumOff val="90000"/>
                  </a:schemeClr>
                </a:solidFill>
              </a:ln>
            </c:spPr>
          </c:marker>
          <c:xVal>
            <c:numRef>
              <c:f>'(or sorted)'!$A$2:$A$62</c:f>
            </c:numRef>
          </c:xVal>
          <c:yVal>
            <c:numRef>
              <c:f>'(or sorted)'!$V$2:$V$62</c:f>
              <c:numCache/>
            </c:numRef>
          </c:yVal>
        </c:ser>
        <c:ser>
          <c:idx val="21"/>
          <c:order val="21"/>
          <c:tx>
            <c:strRef>
              <c:f>'(or sorted)'!$W$1</c:f>
            </c:strRef>
          </c:tx>
          <c:spPr>
            <a:ln>
              <a:noFill/>
            </a:ln>
          </c:spPr>
          <c:marker>
            <c:symbol val="circle"/>
            <c:size val="7"/>
            <c:spPr>
              <a:solidFill>
                <a:schemeClr val="accent4">
                  <a:lumOff val="90000"/>
                </a:schemeClr>
              </a:solidFill>
              <a:ln cmpd="sng">
                <a:solidFill>
                  <a:schemeClr val="accent4">
                    <a:lumOff val="90000"/>
                  </a:schemeClr>
                </a:solidFill>
              </a:ln>
            </c:spPr>
          </c:marker>
          <c:xVal>
            <c:numRef>
              <c:f>'(or sorted)'!$A$2:$A$62</c:f>
            </c:numRef>
          </c:xVal>
          <c:yVal>
            <c:numRef>
              <c:f>'(or sorted)'!$W$2:$W$62</c:f>
              <c:numCache/>
            </c:numRef>
          </c:yVal>
        </c:ser>
        <c:ser>
          <c:idx val="22"/>
          <c:order val="22"/>
          <c:tx>
            <c:strRef>
              <c:f>'(or sorted)'!$X$1</c:f>
            </c:strRef>
          </c:tx>
          <c:spPr>
            <a:ln>
              <a:noFill/>
            </a:ln>
          </c:spPr>
          <c:marker>
            <c:symbol val="circle"/>
            <c:size val="7"/>
            <c:spPr>
              <a:solidFill>
                <a:schemeClr val="accent5">
                  <a:lumOff val="90000"/>
                </a:schemeClr>
              </a:solidFill>
              <a:ln cmpd="sng">
                <a:solidFill>
                  <a:schemeClr val="accent5">
                    <a:lumOff val="90000"/>
                  </a:schemeClr>
                </a:solidFill>
              </a:ln>
            </c:spPr>
          </c:marker>
          <c:xVal>
            <c:numRef>
              <c:f>'(or sorted)'!$A$2:$A$62</c:f>
            </c:numRef>
          </c:xVal>
          <c:yVal>
            <c:numRef>
              <c:f>'(or sorted)'!$X$2:$X$62</c:f>
              <c:numCache/>
            </c:numRef>
          </c:yVal>
        </c:ser>
        <c:ser>
          <c:idx val="23"/>
          <c:order val="23"/>
          <c:tx>
            <c:strRef>
              <c:f>'(or sorted)'!$Y$1</c:f>
            </c:strRef>
          </c:tx>
          <c:spPr>
            <a:ln>
              <a:noFill/>
            </a:ln>
          </c:spPr>
          <c:marker>
            <c:symbol val="circle"/>
            <c:size val="7"/>
            <c:spPr>
              <a:solidFill>
                <a:schemeClr val="accent6">
                  <a:lumOff val="90000"/>
                </a:schemeClr>
              </a:solidFill>
              <a:ln cmpd="sng">
                <a:solidFill>
                  <a:schemeClr val="accent6">
                    <a:lumOff val="90000"/>
                  </a:schemeClr>
                </a:solidFill>
              </a:ln>
            </c:spPr>
          </c:marker>
          <c:xVal>
            <c:numRef>
              <c:f>'(or sorted)'!$A$2:$A$62</c:f>
            </c:numRef>
          </c:xVal>
          <c:yVal>
            <c:numRef>
              <c:f>'(or sorted)'!$Y$2:$Y$62</c:f>
              <c:numCache/>
            </c:numRef>
          </c:yVal>
        </c:ser>
        <c:ser>
          <c:idx val="24"/>
          <c:order val="24"/>
          <c:tx>
            <c:strRef>
              <c:f>'(or sorted)'!$Z$1</c:f>
            </c:strRef>
          </c:tx>
          <c:spPr>
            <a:ln>
              <a:noFill/>
            </a:ln>
          </c:spPr>
          <c:marker>
            <c:symbol val="circle"/>
            <c:size val="7"/>
            <c:spPr>
              <a:solidFill>
                <a:schemeClr val="accent1">
                  <a:lumOff val="120000"/>
                </a:schemeClr>
              </a:solidFill>
              <a:ln cmpd="sng">
                <a:solidFill>
                  <a:schemeClr val="accent1">
                    <a:lumOff val="120000"/>
                  </a:schemeClr>
                </a:solidFill>
              </a:ln>
            </c:spPr>
          </c:marker>
          <c:xVal>
            <c:numRef>
              <c:f>'(or sorted)'!$A$2:$A$62</c:f>
            </c:numRef>
          </c:xVal>
          <c:yVal>
            <c:numRef>
              <c:f>'(or sorted)'!$Z$2:$Z$62</c:f>
              <c:numCache/>
            </c:numRef>
          </c:yVal>
        </c:ser>
        <c:ser>
          <c:idx val="25"/>
          <c:order val="25"/>
          <c:tx>
            <c:strRef>
              <c:f>'(or sorted)'!$AA$1</c:f>
            </c:strRef>
          </c:tx>
          <c:spPr>
            <a:ln>
              <a:noFill/>
            </a:ln>
          </c:spPr>
          <c:marker>
            <c:symbol val="circle"/>
            <c:size val="7"/>
            <c:spPr>
              <a:solidFill>
                <a:schemeClr val="accent2">
                  <a:lumOff val="120000"/>
                </a:schemeClr>
              </a:solidFill>
              <a:ln cmpd="sng">
                <a:solidFill>
                  <a:schemeClr val="accent2">
                    <a:lumOff val="120000"/>
                  </a:schemeClr>
                </a:solidFill>
              </a:ln>
            </c:spPr>
          </c:marker>
          <c:xVal>
            <c:numRef>
              <c:f>'(or sorted)'!$A$2:$A$62</c:f>
            </c:numRef>
          </c:xVal>
          <c:yVal>
            <c:numRef>
              <c:f>'(or sorted)'!$AA$2:$AA$62</c:f>
              <c:numCache/>
            </c:numRef>
          </c:yVal>
        </c:ser>
        <c:ser>
          <c:idx val="26"/>
          <c:order val="26"/>
          <c:tx>
            <c:strRef>
              <c:f>'(or sorted)'!$AB$1</c:f>
            </c:strRef>
          </c:tx>
          <c:spPr>
            <a:ln>
              <a:noFill/>
            </a:ln>
          </c:spPr>
          <c:marker>
            <c:symbol val="circle"/>
            <c:size val="7"/>
            <c:spPr>
              <a:solidFill>
                <a:schemeClr val="accent3">
                  <a:lumOff val="120000"/>
                </a:schemeClr>
              </a:solidFill>
              <a:ln cmpd="sng">
                <a:solidFill>
                  <a:schemeClr val="accent3">
                    <a:lumOff val="120000"/>
                  </a:schemeClr>
                </a:solidFill>
              </a:ln>
            </c:spPr>
          </c:marker>
          <c:xVal>
            <c:numRef>
              <c:f>'(or sorted)'!$A$2:$A$62</c:f>
            </c:numRef>
          </c:xVal>
          <c:yVal>
            <c:numRef>
              <c:f>'(or sorted)'!$AB$2:$AB$62</c:f>
              <c:numCache/>
            </c:numRef>
          </c:yVal>
        </c:ser>
        <c:ser>
          <c:idx val="27"/>
          <c:order val="27"/>
          <c:tx>
            <c:strRef>
              <c:f>'(or sorted)'!$AC$1</c:f>
            </c:strRef>
          </c:tx>
          <c:spPr>
            <a:ln>
              <a:noFill/>
            </a:ln>
          </c:spPr>
          <c:marker>
            <c:symbol val="circle"/>
            <c:size val="7"/>
            <c:spPr>
              <a:solidFill>
                <a:schemeClr val="accent4">
                  <a:lumOff val="120000"/>
                </a:schemeClr>
              </a:solidFill>
              <a:ln cmpd="sng">
                <a:solidFill>
                  <a:schemeClr val="accent4">
                    <a:lumOff val="120000"/>
                  </a:schemeClr>
                </a:solidFill>
              </a:ln>
            </c:spPr>
          </c:marker>
          <c:xVal>
            <c:numRef>
              <c:f>'(or sorted)'!$A$2:$A$62</c:f>
            </c:numRef>
          </c:xVal>
          <c:yVal>
            <c:numRef>
              <c:f>'(or sorted)'!$AC$2:$AC$62</c:f>
              <c:numCache/>
            </c:numRef>
          </c:yVal>
        </c:ser>
        <c:ser>
          <c:idx val="28"/>
          <c:order val="28"/>
          <c:tx>
            <c:strRef>
              <c:f>'(or sorted)'!$AD$1</c:f>
            </c:strRef>
          </c:tx>
          <c:spPr>
            <a:ln>
              <a:noFill/>
            </a:ln>
          </c:spPr>
          <c:marker>
            <c:symbol val="circle"/>
            <c:size val="7"/>
            <c:spPr>
              <a:solidFill>
                <a:schemeClr val="accent5">
                  <a:lumOff val="120000"/>
                </a:schemeClr>
              </a:solidFill>
              <a:ln cmpd="sng">
                <a:solidFill>
                  <a:schemeClr val="accent5">
                    <a:lumOff val="120000"/>
                  </a:schemeClr>
                </a:solidFill>
              </a:ln>
            </c:spPr>
          </c:marker>
          <c:xVal>
            <c:numRef>
              <c:f>'(or sorted)'!$A$2:$A$62</c:f>
            </c:numRef>
          </c:xVal>
          <c:yVal>
            <c:numRef>
              <c:f>'(or sorted)'!$AD$2:$AD$62</c:f>
              <c:numCache/>
            </c:numRef>
          </c:yVal>
        </c:ser>
        <c:ser>
          <c:idx val="29"/>
          <c:order val="29"/>
          <c:tx>
            <c:strRef>
              <c:f>'(or sorted)'!$AE$1</c:f>
            </c:strRef>
          </c:tx>
          <c:spPr>
            <a:ln>
              <a:noFill/>
            </a:ln>
          </c:spPr>
          <c:marker>
            <c:symbol val="circle"/>
            <c:size val="7"/>
            <c:spPr>
              <a:solidFill>
                <a:schemeClr val="accent6">
                  <a:lumOff val="120000"/>
                </a:schemeClr>
              </a:solidFill>
              <a:ln cmpd="sng">
                <a:solidFill>
                  <a:schemeClr val="accent6">
                    <a:lumOff val="120000"/>
                  </a:schemeClr>
                </a:solidFill>
              </a:ln>
            </c:spPr>
          </c:marker>
          <c:xVal>
            <c:numRef>
              <c:f>'(or sorted)'!$A$2:$A$62</c:f>
            </c:numRef>
          </c:xVal>
          <c:yVal>
            <c:numRef>
              <c:f>'(or sorted)'!$AE$2:$AE$62</c:f>
              <c:numCache/>
            </c:numRef>
          </c:yVal>
        </c:ser>
        <c:ser>
          <c:idx val="30"/>
          <c:order val="30"/>
          <c:tx>
            <c:strRef>
              <c:f>'(or sorted)'!$AF$1</c:f>
            </c:strRef>
          </c:tx>
          <c:spPr>
            <a:ln>
              <a:noFill/>
            </a:ln>
          </c:spPr>
          <c:marker>
            <c:symbol val="circle"/>
            <c:size val="7"/>
            <c:spPr>
              <a:solidFill>
                <a:schemeClr val="accent1">
                  <a:lumOff val="150000"/>
                </a:schemeClr>
              </a:solidFill>
              <a:ln cmpd="sng">
                <a:solidFill>
                  <a:schemeClr val="accent1">
                    <a:lumOff val="150000"/>
                  </a:schemeClr>
                </a:solidFill>
              </a:ln>
            </c:spPr>
          </c:marker>
          <c:xVal>
            <c:numRef>
              <c:f>'(or sorted)'!$A$2:$A$62</c:f>
            </c:numRef>
          </c:xVal>
          <c:yVal>
            <c:numRef>
              <c:f>'(or sorted)'!$AF$2:$AF$62</c:f>
              <c:numCache/>
            </c:numRef>
          </c:yVal>
        </c:ser>
        <c:ser>
          <c:idx val="31"/>
          <c:order val="31"/>
          <c:tx>
            <c:strRef>
              <c:f>'(or sorted)'!$AG$1</c:f>
            </c:strRef>
          </c:tx>
          <c:spPr>
            <a:ln>
              <a:noFill/>
            </a:ln>
          </c:spPr>
          <c:marker>
            <c:symbol val="circle"/>
            <c:size val="7"/>
            <c:spPr>
              <a:solidFill>
                <a:schemeClr val="accent2">
                  <a:lumOff val="150000"/>
                </a:schemeClr>
              </a:solidFill>
              <a:ln cmpd="sng">
                <a:solidFill>
                  <a:schemeClr val="accent2">
                    <a:lumOff val="150000"/>
                  </a:schemeClr>
                </a:solidFill>
              </a:ln>
            </c:spPr>
          </c:marker>
          <c:xVal>
            <c:numRef>
              <c:f>'(or sorted)'!$A$2:$A$62</c:f>
            </c:numRef>
          </c:xVal>
          <c:yVal>
            <c:numRef>
              <c:f>'(or sorted)'!$AG$2:$AG$62</c:f>
              <c:numCache/>
            </c:numRef>
          </c:yVal>
        </c:ser>
        <c:ser>
          <c:idx val="32"/>
          <c:order val="32"/>
          <c:tx>
            <c:strRef>
              <c:f>'(or sorted)'!$AH$1</c:f>
            </c:strRef>
          </c:tx>
          <c:spPr>
            <a:ln>
              <a:noFill/>
            </a:ln>
          </c:spPr>
          <c:marker>
            <c:symbol val="circle"/>
            <c:size val="7"/>
            <c:spPr>
              <a:solidFill>
                <a:schemeClr val="accent3">
                  <a:lumOff val="150000"/>
                </a:schemeClr>
              </a:solidFill>
              <a:ln cmpd="sng">
                <a:solidFill>
                  <a:schemeClr val="accent3">
                    <a:lumOff val="150000"/>
                  </a:schemeClr>
                </a:solidFill>
              </a:ln>
            </c:spPr>
          </c:marker>
          <c:xVal>
            <c:numRef>
              <c:f>'(or sorted)'!$A$2:$A$62</c:f>
            </c:numRef>
          </c:xVal>
          <c:yVal>
            <c:numRef>
              <c:f>'(or sorted)'!$AH$2:$AH$62</c:f>
              <c:numCache/>
            </c:numRef>
          </c:yVal>
        </c:ser>
        <c:ser>
          <c:idx val="33"/>
          <c:order val="33"/>
          <c:tx>
            <c:strRef>
              <c:f>'(or sorted)'!$AI$1</c:f>
            </c:strRef>
          </c:tx>
          <c:spPr>
            <a:ln>
              <a:noFill/>
            </a:ln>
          </c:spPr>
          <c:marker>
            <c:symbol val="circle"/>
            <c:size val="7"/>
            <c:spPr>
              <a:solidFill>
                <a:schemeClr val="accent4">
                  <a:lumOff val="150000"/>
                </a:schemeClr>
              </a:solidFill>
              <a:ln cmpd="sng">
                <a:solidFill>
                  <a:schemeClr val="accent4">
                    <a:lumOff val="150000"/>
                  </a:schemeClr>
                </a:solidFill>
              </a:ln>
            </c:spPr>
          </c:marker>
          <c:xVal>
            <c:numRef>
              <c:f>'(or sorted)'!$A$2:$A$62</c:f>
            </c:numRef>
          </c:xVal>
          <c:yVal>
            <c:numRef>
              <c:f>'(or sorted)'!$AI$2:$AI$62</c:f>
              <c:numCache/>
            </c:numRef>
          </c:yVal>
        </c:ser>
        <c:ser>
          <c:idx val="34"/>
          <c:order val="34"/>
          <c:tx>
            <c:strRef>
              <c:f>'(or sorted)'!$AJ$1</c:f>
            </c:strRef>
          </c:tx>
          <c:spPr>
            <a:ln>
              <a:noFill/>
            </a:ln>
          </c:spPr>
          <c:marker>
            <c:symbol val="circle"/>
            <c:size val="7"/>
            <c:spPr>
              <a:solidFill>
                <a:schemeClr val="accent5">
                  <a:lumOff val="150000"/>
                </a:schemeClr>
              </a:solidFill>
              <a:ln cmpd="sng">
                <a:solidFill>
                  <a:schemeClr val="accent5">
                    <a:lumOff val="150000"/>
                  </a:schemeClr>
                </a:solidFill>
              </a:ln>
            </c:spPr>
          </c:marker>
          <c:xVal>
            <c:numRef>
              <c:f>'(or sorted)'!$A$2:$A$62</c:f>
            </c:numRef>
          </c:xVal>
          <c:yVal>
            <c:numRef>
              <c:f>'(or sorted)'!$AJ$2:$AJ$62</c:f>
              <c:numCache/>
            </c:numRef>
          </c:yVal>
        </c:ser>
        <c:ser>
          <c:idx val="35"/>
          <c:order val="35"/>
          <c:tx>
            <c:strRef>
              <c:f>'(or sorted)'!$AK$1</c:f>
            </c:strRef>
          </c:tx>
          <c:spPr>
            <a:ln>
              <a:noFill/>
            </a:ln>
          </c:spPr>
          <c:marker>
            <c:symbol val="circle"/>
            <c:size val="7"/>
            <c:spPr>
              <a:solidFill>
                <a:schemeClr val="accent6">
                  <a:lumOff val="150000"/>
                </a:schemeClr>
              </a:solidFill>
              <a:ln cmpd="sng">
                <a:solidFill>
                  <a:schemeClr val="accent6">
                    <a:lumOff val="150000"/>
                  </a:schemeClr>
                </a:solidFill>
              </a:ln>
            </c:spPr>
          </c:marker>
          <c:xVal>
            <c:numRef>
              <c:f>'(or sorted)'!$A$2:$A$62</c:f>
            </c:numRef>
          </c:xVal>
          <c:yVal>
            <c:numRef>
              <c:f>'(or sorted)'!$AK$2:$AK$62</c:f>
              <c:numCache/>
            </c:numRef>
          </c:yVal>
        </c:ser>
        <c:ser>
          <c:idx val="36"/>
          <c:order val="36"/>
          <c:tx>
            <c:strRef>
              <c:f>'(or sorted)'!$AL$1</c:f>
            </c:strRef>
          </c:tx>
          <c:spPr>
            <a:ln>
              <a:noFill/>
            </a:ln>
          </c:spPr>
          <c:marker>
            <c:symbol val="circle"/>
            <c:size val="7"/>
            <c:spPr>
              <a:solidFill>
                <a:schemeClr val="accent1">
                  <a:lumOff val="180000"/>
                </a:schemeClr>
              </a:solidFill>
              <a:ln cmpd="sng">
                <a:solidFill>
                  <a:schemeClr val="accent1">
                    <a:lumOff val="180000"/>
                  </a:schemeClr>
                </a:solidFill>
              </a:ln>
            </c:spPr>
          </c:marker>
          <c:xVal>
            <c:numRef>
              <c:f>'(or sorted)'!$A$2:$A$62</c:f>
            </c:numRef>
          </c:xVal>
          <c:yVal>
            <c:numRef>
              <c:f>'(or sorted)'!$AL$2:$AL$62</c:f>
              <c:numCache/>
            </c:numRef>
          </c:yVal>
        </c:ser>
        <c:ser>
          <c:idx val="37"/>
          <c:order val="37"/>
          <c:tx>
            <c:strRef>
              <c:f>'(or sorted)'!$AM$1</c:f>
            </c:strRef>
          </c:tx>
          <c:spPr>
            <a:ln>
              <a:noFill/>
            </a:ln>
          </c:spPr>
          <c:marker>
            <c:symbol val="circle"/>
            <c:size val="7"/>
            <c:spPr>
              <a:solidFill>
                <a:schemeClr val="accent2">
                  <a:lumOff val="180000"/>
                </a:schemeClr>
              </a:solidFill>
              <a:ln cmpd="sng">
                <a:solidFill>
                  <a:schemeClr val="accent2">
                    <a:lumOff val="180000"/>
                  </a:schemeClr>
                </a:solidFill>
              </a:ln>
            </c:spPr>
          </c:marker>
          <c:xVal>
            <c:numRef>
              <c:f>'(or sorted)'!$A$2:$A$62</c:f>
            </c:numRef>
          </c:xVal>
          <c:yVal>
            <c:numRef>
              <c:f>'(or sorted)'!$AM$2:$AM$62</c:f>
              <c:numCache/>
            </c:numRef>
          </c:yVal>
        </c:ser>
        <c:ser>
          <c:idx val="38"/>
          <c:order val="38"/>
          <c:tx>
            <c:strRef>
              <c:f>'(or sorted)'!$AN$1</c:f>
            </c:strRef>
          </c:tx>
          <c:spPr>
            <a:ln>
              <a:noFill/>
            </a:ln>
          </c:spPr>
          <c:marker>
            <c:symbol val="circle"/>
            <c:size val="7"/>
            <c:spPr>
              <a:solidFill>
                <a:schemeClr val="accent3">
                  <a:lumOff val="180000"/>
                </a:schemeClr>
              </a:solidFill>
              <a:ln cmpd="sng">
                <a:solidFill>
                  <a:schemeClr val="accent3">
                    <a:lumOff val="180000"/>
                  </a:schemeClr>
                </a:solidFill>
              </a:ln>
            </c:spPr>
          </c:marker>
          <c:xVal>
            <c:numRef>
              <c:f>'(or sorted)'!$A$2:$A$62</c:f>
            </c:numRef>
          </c:xVal>
          <c:yVal>
            <c:numRef>
              <c:f>'(or sorted)'!$AN$2:$AN$62</c:f>
              <c:numCache/>
            </c:numRef>
          </c:yVal>
        </c:ser>
        <c:dLbls>
          <c:showLegendKey val="0"/>
          <c:showVal val="0"/>
          <c:showCatName val="0"/>
          <c:showSerName val="0"/>
          <c:showPercent val="0"/>
          <c:showBubbleSize val="0"/>
        </c:dLbls>
        <c:axId val="787958149"/>
        <c:axId val="1206146502"/>
      </c:scatterChart>
      <c:valAx>
        <c:axId val="7879581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146502"/>
      </c:valAx>
      <c:valAx>
        <c:axId val="1206146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795814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10</xdr:row>
      <xdr:rowOff>0</xdr:rowOff>
    </xdr:from>
    <xdr:ext cx="7658100" cy="3228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0</xdr:colOff>
      <xdr:row>31</xdr:row>
      <xdr:rowOff>0</xdr:rowOff>
    </xdr:from>
    <xdr:ext cx="7658100" cy="32289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0</xdr:colOff>
      <xdr:row>57</xdr:row>
      <xdr:rowOff>0</xdr:rowOff>
    </xdr:from>
    <xdr:ext cx="7658100" cy="32289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8</xdr:row>
      <xdr:rowOff>0</xdr:rowOff>
    </xdr:from>
    <xdr:ext cx="11182350" cy="49815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61</xdr:col>
      <xdr:colOff>638175</xdr:colOff>
      <xdr:row>1</xdr:row>
      <xdr:rowOff>0</xdr:rowOff>
    </xdr:from>
    <xdr:ext cx="14497050" cy="88868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49</xdr:col>
      <xdr:colOff>0</xdr:colOff>
      <xdr:row>5</xdr:row>
      <xdr:rowOff>9525</xdr:rowOff>
    </xdr:from>
    <xdr:ext cx="14430375" cy="92011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8.63"/>
    <col customWidth="1" min="3" max="3" width="7.38"/>
    <col customWidth="1" min="4" max="4" width="8.63"/>
    <col customWidth="1" min="5" max="7" width="7.38"/>
    <col customWidth="1" min="8" max="8" width="6.63"/>
    <col customWidth="1" min="9" max="9" width="8.63"/>
    <col customWidth="1" min="10" max="34" width="7.75"/>
  </cols>
  <sheetData>
    <row r="1" ht="12.75" customHeight="1">
      <c r="A1" s="4" t="s">
        <v>0</v>
      </c>
      <c r="B1" s="10" t="s">
        <v>8</v>
      </c>
      <c r="C1" s="11" t="s">
        <v>9</v>
      </c>
      <c r="D1" s="12" t="s">
        <v>10</v>
      </c>
      <c r="E1" s="11"/>
      <c r="F1" s="11"/>
      <c r="G1" s="13" t="s">
        <v>11</v>
      </c>
      <c r="H1" s="11" t="s">
        <v>12</v>
      </c>
      <c r="I1" s="4" t="s">
        <v>13</v>
      </c>
      <c r="J1" s="14"/>
      <c r="M1" s="15" t="s">
        <v>14</v>
      </c>
      <c r="Q1" s="16" t="s">
        <v>15</v>
      </c>
      <c r="AE1" s="15" t="s">
        <v>16</v>
      </c>
    </row>
    <row r="2" ht="12.75" customHeight="1">
      <c r="A2" s="8">
        <v>1.0</v>
      </c>
      <c r="B2" s="17">
        <f t="shared" ref="B2:B50" si="1">_xlfn.CEILING.MATH(I2,1)</f>
        <v>100</v>
      </c>
      <c r="C2" s="8">
        <v>70.0</v>
      </c>
      <c r="D2" s="18">
        <v>1500.0</v>
      </c>
      <c r="E2" s="19"/>
      <c r="F2" s="8"/>
      <c r="G2" s="8">
        <v>100.0</v>
      </c>
      <c r="H2" s="20">
        <v>1.0</v>
      </c>
      <c r="I2" s="21">
        <f t="shared" ref="I2:I7" si="2">G2</f>
        <v>100</v>
      </c>
      <c r="J2" s="14"/>
      <c r="N2" s="15" t="s">
        <v>17</v>
      </c>
      <c r="O2" s="15" t="s">
        <v>18</v>
      </c>
      <c r="P2" s="15" t="s">
        <v>19</v>
      </c>
      <c r="R2" s="15" t="s">
        <v>20</v>
      </c>
    </row>
    <row r="3" ht="12.75" customHeight="1">
      <c r="A3" s="8">
        <v>2.0</v>
      </c>
      <c r="B3" s="17">
        <f t="shared" si="1"/>
        <v>103</v>
      </c>
      <c r="C3" s="8">
        <v>100.0</v>
      </c>
      <c r="D3" s="14">
        <v>4600.0</v>
      </c>
      <c r="E3" s="8"/>
      <c r="F3" s="8"/>
      <c r="G3" s="8">
        <v>103.0</v>
      </c>
      <c r="H3" s="20">
        <v>1.0</v>
      </c>
      <c r="I3" s="21">
        <f t="shared" si="2"/>
        <v>103</v>
      </c>
      <c r="J3" s="22"/>
      <c r="N3" s="23">
        <f t="shared" ref="N3:P3" si="3">B3/B2</f>
        <v>1.03</v>
      </c>
      <c r="O3" s="23">
        <f t="shared" si="3"/>
        <v>1.428571429</v>
      </c>
      <c r="P3" s="23">
        <f t="shared" si="3"/>
        <v>3.066666667</v>
      </c>
      <c r="R3" s="15" t="s">
        <v>21</v>
      </c>
    </row>
    <row r="4" ht="12.75" customHeight="1">
      <c r="A4" s="8">
        <v>3.0</v>
      </c>
      <c r="B4" s="17">
        <f t="shared" si="1"/>
        <v>105</v>
      </c>
      <c r="C4" s="8">
        <v>115.0</v>
      </c>
      <c r="D4" s="14">
        <v>5290.0</v>
      </c>
      <c r="E4" s="8"/>
      <c r="F4" s="8"/>
      <c r="G4" s="8">
        <v>105.0</v>
      </c>
      <c r="H4" s="20">
        <v>1.0</v>
      </c>
      <c r="I4" s="21">
        <f t="shared" si="2"/>
        <v>105</v>
      </c>
      <c r="J4" s="22"/>
      <c r="N4" s="23">
        <f t="shared" ref="N4:P4" si="4">B4/B3</f>
        <v>1.019417476</v>
      </c>
      <c r="O4" s="23">
        <f t="shared" si="4"/>
        <v>1.15</v>
      </c>
      <c r="P4" s="23">
        <f t="shared" si="4"/>
        <v>1.15</v>
      </c>
    </row>
    <row r="5" ht="12.75" customHeight="1">
      <c r="A5" s="8">
        <v>4.0</v>
      </c>
      <c r="B5" s="17">
        <f t="shared" si="1"/>
        <v>109</v>
      </c>
      <c r="C5" s="8">
        <v>124.0</v>
      </c>
      <c r="D5" s="14">
        <v>6084.0</v>
      </c>
      <c r="E5" s="8"/>
      <c r="F5" s="8"/>
      <c r="G5" s="8">
        <v>109.0</v>
      </c>
      <c r="H5" s="20">
        <v>1.0</v>
      </c>
      <c r="I5" s="21">
        <f t="shared" si="2"/>
        <v>109</v>
      </c>
      <c r="J5" s="14"/>
      <c r="N5" s="23">
        <f t="shared" ref="N5:P5" si="5">B5/B4</f>
        <v>1.038095238</v>
      </c>
      <c r="O5" s="23">
        <f t="shared" si="5"/>
        <v>1.07826087</v>
      </c>
      <c r="P5" s="23">
        <f t="shared" si="5"/>
        <v>1.150094518</v>
      </c>
      <c r="R5" s="15" t="s">
        <v>22</v>
      </c>
    </row>
    <row r="6" ht="12.75" customHeight="1">
      <c r="A6" s="8">
        <v>5.0</v>
      </c>
      <c r="B6" s="17">
        <f t="shared" si="1"/>
        <v>113</v>
      </c>
      <c r="C6" s="8">
        <v>134.0</v>
      </c>
      <c r="D6" s="14">
        <v>6996.0</v>
      </c>
      <c r="E6" s="8"/>
      <c r="F6" s="8"/>
      <c r="G6" s="8">
        <v>113.0</v>
      </c>
      <c r="H6" s="20">
        <v>1.0</v>
      </c>
      <c r="I6" s="21">
        <f t="shared" si="2"/>
        <v>113</v>
      </c>
      <c r="J6" s="14"/>
      <c r="N6" s="23">
        <f t="shared" ref="N6:P6" si="6">B6/B5</f>
        <v>1.036697248</v>
      </c>
      <c r="O6" s="23">
        <f t="shared" si="6"/>
        <v>1.080645161</v>
      </c>
      <c r="P6" s="23">
        <f t="shared" si="6"/>
        <v>1.149901381</v>
      </c>
    </row>
    <row r="7" ht="12.75" customHeight="1">
      <c r="A7" s="8">
        <v>6.0</v>
      </c>
      <c r="B7" s="17">
        <f t="shared" si="1"/>
        <v>116</v>
      </c>
      <c r="C7" s="8">
        <v>145.0</v>
      </c>
      <c r="D7" s="14">
        <v>8046.0</v>
      </c>
      <c r="E7" s="8"/>
      <c r="F7" s="8"/>
      <c r="G7" s="8">
        <v>116.0</v>
      </c>
      <c r="H7" s="20">
        <v>1.0</v>
      </c>
      <c r="I7" s="21">
        <f t="shared" si="2"/>
        <v>116</v>
      </c>
      <c r="J7" s="12" t="s">
        <v>23</v>
      </c>
      <c r="N7" s="23">
        <f t="shared" ref="N7:P7" si="7">B7/B6</f>
        <v>1.026548673</v>
      </c>
      <c r="O7" s="23">
        <f t="shared" si="7"/>
        <v>1.082089552</v>
      </c>
      <c r="P7" s="23">
        <f t="shared" si="7"/>
        <v>1.150085763</v>
      </c>
      <c r="R7" s="15" t="s">
        <v>24</v>
      </c>
    </row>
    <row r="8" ht="12.75" customHeight="1">
      <c r="A8" s="8">
        <v>7.0</v>
      </c>
      <c r="B8" s="17">
        <f t="shared" si="1"/>
        <v>121</v>
      </c>
      <c r="C8" s="8">
        <v>157.0</v>
      </c>
      <c r="D8" s="14">
        <v>9252.0</v>
      </c>
      <c r="E8" s="8"/>
      <c r="F8" s="8"/>
      <c r="G8" s="8">
        <v>145.0</v>
      </c>
      <c r="H8" s="20">
        <v>1.2</v>
      </c>
      <c r="I8" s="21">
        <f>G8/1.2</f>
        <v>120.8333333</v>
      </c>
      <c r="J8" s="6" t="s">
        <v>25</v>
      </c>
      <c r="N8" s="23">
        <f t="shared" ref="N8:P8" si="8">B8/B7</f>
        <v>1.043103448</v>
      </c>
      <c r="O8" s="23">
        <f t="shared" si="8"/>
        <v>1.082758621</v>
      </c>
      <c r="P8" s="23">
        <f t="shared" si="8"/>
        <v>1.149888143</v>
      </c>
      <c r="R8" s="15" t="s">
        <v>26</v>
      </c>
    </row>
    <row r="9" ht="12.75" customHeight="1">
      <c r="A9" s="8">
        <v>8.0</v>
      </c>
      <c r="B9" s="17">
        <f t="shared" si="1"/>
        <v>125</v>
      </c>
      <c r="C9" s="8">
        <v>170.0</v>
      </c>
      <c r="D9" s="14">
        <v>10640.0</v>
      </c>
      <c r="E9" s="8"/>
      <c r="F9" s="8"/>
      <c r="G9" s="8">
        <v>175.0</v>
      </c>
      <c r="H9" s="20">
        <v>1.4</v>
      </c>
      <c r="I9" s="21">
        <f>G9/1.4</f>
        <v>125</v>
      </c>
      <c r="J9" s="6" t="s">
        <v>27</v>
      </c>
      <c r="N9" s="23">
        <f t="shared" ref="N9:P9" si="9">B9/B8</f>
        <v>1.033057851</v>
      </c>
      <c r="O9" s="23">
        <f t="shared" si="9"/>
        <v>1.082802548</v>
      </c>
      <c r="P9" s="23">
        <f t="shared" si="9"/>
        <v>1.150021617</v>
      </c>
      <c r="R9" s="15" t="s">
        <v>28</v>
      </c>
    </row>
    <row r="10" ht="12.75" customHeight="1">
      <c r="A10" s="8">
        <v>9.0</v>
      </c>
      <c r="B10" s="17">
        <f t="shared" si="1"/>
        <v>129</v>
      </c>
      <c r="C10" s="8">
        <v>184.0</v>
      </c>
      <c r="D10" s="14">
        <v>12236.0</v>
      </c>
      <c r="E10" s="8"/>
      <c r="F10" s="8"/>
      <c r="G10" s="8">
        <v>206.0</v>
      </c>
      <c r="H10" s="20">
        <f t="shared" ref="H10:H52" si="11">G10/I10</f>
        <v>1.6</v>
      </c>
      <c r="I10" s="21">
        <f t="shared" ref="I10:I16" si="12">G10/1.6</f>
        <v>128.75</v>
      </c>
      <c r="J10" s="6"/>
      <c r="N10" s="23">
        <f t="shared" ref="N10:P10" si="10">B10/B9</f>
        <v>1.032</v>
      </c>
      <c r="O10" s="23">
        <f t="shared" si="10"/>
        <v>1.082352941</v>
      </c>
      <c r="P10" s="23">
        <f t="shared" si="10"/>
        <v>1.15</v>
      </c>
    </row>
    <row r="11" ht="12.75" customHeight="1">
      <c r="A11" s="8">
        <v>10.0</v>
      </c>
      <c r="B11" s="17">
        <f t="shared" si="1"/>
        <v>133</v>
      </c>
      <c r="C11" s="8">
        <v>199.0</v>
      </c>
      <c r="D11" s="14">
        <v>14072.0</v>
      </c>
      <c r="E11" s="8"/>
      <c r="F11" s="8"/>
      <c r="G11" s="8">
        <v>212.0</v>
      </c>
      <c r="H11" s="20">
        <f t="shared" si="11"/>
        <v>1.6</v>
      </c>
      <c r="I11" s="21">
        <f t="shared" si="12"/>
        <v>132.5</v>
      </c>
      <c r="J11" s="6"/>
      <c r="N11" s="23">
        <f t="shared" ref="N11:P11" si="13">B11/B10</f>
        <v>1.031007752</v>
      </c>
      <c r="O11" s="23">
        <f t="shared" si="13"/>
        <v>1.081521739</v>
      </c>
      <c r="P11" s="23">
        <f t="shared" si="13"/>
        <v>1.150049036</v>
      </c>
    </row>
    <row r="12" ht="12.75" customHeight="1">
      <c r="A12" s="8">
        <v>11.0</v>
      </c>
      <c r="B12" s="17">
        <f t="shared" si="1"/>
        <v>137</v>
      </c>
      <c r="C12" s="8">
        <v>215.0</v>
      </c>
      <c r="D12" s="14">
        <v>15198.0</v>
      </c>
      <c r="E12" s="8"/>
      <c r="F12" s="8"/>
      <c r="G12" s="8">
        <v>219.0</v>
      </c>
      <c r="H12" s="20">
        <f t="shared" si="11"/>
        <v>1.6</v>
      </c>
      <c r="I12" s="21">
        <f t="shared" si="12"/>
        <v>136.875</v>
      </c>
      <c r="J12" s="6"/>
      <c r="N12" s="23">
        <f t="shared" ref="N12:P12" si="14">B12/B11</f>
        <v>1.030075188</v>
      </c>
      <c r="O12" s="23">
        <f t="shared" si="14"/>
        <v>1.08040201</v>
      </c>
      <c r="P12" s="23">
        <f t="shared" si="14"/>
        <v>1.080017055</v>
      </c>
    </row>
    <row r="13" ht="12.75" customHeight="1">
      <c r="A13" s="8">
        <v>12.0</v>
      </c>
      <c r="B13" s="17">
        <f t="shared" si="1"/>
        <v>142</v>
      </c>
      <c r="C13" s="8">
        <v>232.0</v>
      </c>
      <c r="D13" s="14">
        <v>16414.0</v>
      </c>
      <c r="E13" s="8"/>
      <c r="F13" s="8"/>
      <c r="G13" s="8">
        <v>227.0</v>
      </c>
      <c r="H13" s="20">
        <f t="shared" si="11"/>
        <v>1.6</v>
      </c>
      <c r="I13" s="21">
        <f t="shared" si="12"/>
        <v>141.875</v>
      </c>
      <c r="J13" s="6"/>
      <c r="N13" s="23">
        <f t="shared" ref="N13:P13" si="15">B13/B12</f>
        <v>1.03649635</v>
      </c>
      <c r="O13" s="23">
        <f t="shared" si="15"/>
        <v>1.079069767</v>
      </c>
      <c r="P13" s="23">
        <f t="shared" si="15"/>
        <v>1.080010528</v>
      </c>
    </row>
    <row r="14" ht="12.75" customHeight="1">
      <c r="A14" s="8">
        <v>13.0</v>
      </c>
      <c r="B14" s="17">
        <f t="shared" si="1"/>
        <v>147</v>
      </c>
      <c r="C14" s="8">
        <v>251.0</v>
      </c>
      <c r="D14" s="14">
        <v>17728.0</v>
      </c>
      <c r="E14" s="8"/>
      <c r="F14" s="8"/>
      <c r="G14" s="8">
        <v>235.0</v>
      </c>
      <c r="H14" s="20">
        <f t="shared" si="11"/>
        <v>1.6</v>
      </c>
      <c r="I14" s="21">
        <f t="shared" si="12"/>
        <v>146.875</v>
      </c>
      <c r="J14" s="6"/>
      <c r="N14" s="23">
        <f t="shared" ref="N14:P14" si="16">B14/B13</f>
        <v>1.035211268</v>
      </c>
      <c r="O14" s="23">
        <f t="shared" si="16"/>
        <v>1.081896552</v>
      </c>
      <c r="P14" s="23">
        <f t="shared" si="16"/>
        <v>1.080053613</v>
      </c>
    </row>
    <row r="15" ht="12.75" customHeight="1">
      <c r="A15" s="8">
        <v>14.0</v>
      </c>
      <c r="B15" s="17">
        <f t="shared" si="1"/>
        <v>152</v>
      </c>
      <c r="C15" s="8">
        <v>271.0</v>
      </c>
      <c r="D15" s="14">
        <v>19146.0</v>
      </c>
      <c r="E15" s="8"/>
      <c r="F15" s="8"/>
      <c r="G15" s="8">
        <v>243.0</v>
      </c>
      <c r="H15" s="20">
        <f t="shared" si="11"/>
        <v>1.6</v>
      </c>
      <c r="I15" s="21">
        <f t="shared" si="12"/>
        <v>151.875</v>
      </c>
      <c r="J15" s="6"/>
      <c r="N15" s="23">
        <f t="shared" ref="N15:P15" si="17">B15/B14</f>
        <v>1.034013605</v>
      </c>
      <c r="O15" s="23">
        <f t="shared" si="17"/>
        <v>1.079681275</v>
      </c>
      <c r="P15" s="23">
        <f t="shared" si="17"/>
        <v>1.079986462</v>
      </c>
    </row>
    <row r="16" ht="12.75" customHeight="1">
      <c r="A16" s="8">
        <v>15.0</v>
      </c>
      <c r="B16" s="17">
        <f t="shared" si="1"/>
        <v>157</v>
      </c>
      <c r="C16" s="8">
        <v>293.0</v>
      </c>
      <c r="D16" s="14">
        <v>20678.0</v>
      </c>
      <c r="E16" s="8"/>
      <c r="F16" s="8"/>
      <c r="G16" s="8">
        <v>251.0</v>
      </c>
      <c r="H16" s="20">
        <f t="shared" si="11"/>
        <v>1.6</v>
      </c>
      <c r="I16" s="21">
        <f t="shared" si="12"/>
        <v>156.875</v>
      </c>
      <c r="J16" s="6" t="s">
        <v>29</v>
      </c>
      <c r="N16" s="23">
        <f t="shared" ref="N16:P16" si="18">B16/B15</f>
        <v>1.032894737</v>
      </c>
      <c r="O16" s="23">
        <f t="shared" si="18"/>
        <v>1.081180812</v>
      </c>
      <c r="P16" s="23">
        <f t="shared" si="18"/>
        <v>1.080016714</v>
      </c>
    </row>
    <row r="17" ht="12.75" customHeight="1">
      <c r="A17" s="8">
        <v>16.0</v>
      </c>
      <c r="B17" s="17">
        <f t="shared" si="1"/>
        <v>162</v>
      </c>
      <c r="C17" s="8">
        <v>316.0</v>
      </c>
      <c r="D17" s="14">
        <v>22332.0</v>
      </c>
      <c r="E17" s="8"/>
      <c r="F17" s="8"/>
      <c r="G17" s="8">
        <v>291.0</v>
      </c>
      <c r="H17" s="20">
        <f t="shared" si="11"/>
        <v>1.8</v>
      </c>
      <c r="I17" s="21">
        <f>G17/1.8</f>
        <v>161.6666667</v>
      </c>
      <c r="J17" s="5" t="s">
        <v>30</v>
      </c>
      <c r="N17" s="23">
        <f t="shared" ref="N17:P17" si="19">B17/B16</f>
        <v>1.031847134</v>
      </c>
      <c r="O17" s="23">
        <f t="shared" si="19"/>
        <v>1.078498294</v>
      </c>
      <c r="P17" s="23">
        <f t="shared" si="19"/>
        <v>1.079988393</v>
      </c>
    </row>
    <row r="18" ht="12.75" customHeight="1">
      <c r="A18" s="8">
        <v>17.0</v>
      </c>
      <c r="B18" s="17">
        <f t="shared" si="1"/>
        <v>167</v>
      </c>
      <c r="C18" s="8">
        <v>341.0</v>
      </c>
      <c r="D18" s="14">
        <v>24118.0</v>
      </c>
      <c r="E18" s="8"/>
      <c r="F18" s="8"/>
      <c r="G18" s="8">
        <v>367.0</v>
      </c>
      <c r="H18" s="20">
        <f t="shared" si="11"/>
        <v>2.2</v>
      </c>
      <c r="I18" s="21">
        <f t="shared" ref="I18:I31" si="21">G18/2.2</f>
        <v>166.8181818</v>
      </c>
      <c r="J18" s="6"/>
      <c r="N18" s="23">
        <f t="shared" ref="N18:P18" si="20">B18/B17</f>
        <v>1.030864198</v>
      </c>
      <c r="O18" s="23">
        <f t="shared" si="20"/>
        <v>1.079113924</v>
      </c>
      <c r="P18" s="23">
        <f t="shared" si="20"/>
        <v>1.079974924</v>
      </c>
    </row>
    <row r="19" ht="12.75" customHeight="1">
      <c r="A19" s="8">
        <v>18.0</v>
      </c>
      <c r="B19" s="17">
        <f t="shared" si="1"/>
        <v>173</v>
      </c>
      <c r="C19" s="8">
        <v>368.0</v>
      </c>
      <c r="D19" s="14">
        <v>26048.0</v>
      </c>
      <c r="E19" s="8"/>
      <c r="F19" s="8"/>
      <c r="G19" s="8">
        <v>380.0</v>
      </c>
      <c r="H19" s="20">
        <f t="shared" si="11"/>
        <v>2.2</v>
      </c>
      <c r="I19" s="21">
        <f t="shared" si="21"/>
        <v>172.7272727</v>
      </c>
      <c r="J19" s="6"/>
      <c r="N19" s="23">
        <f t="shared" ref="N19:P19" si="22">B19/B18</f>
        <v>1.035928144</v>
      </c>
      <c r="O19" s="23">
        <f t="shared" si="22"/>
        <v>1.079178886</v>
      </c>
      <c r="P19" s="23">
        <f t="shared" si="22"/>
        <v>1.080023219</v>
      </c>
    </row>
    <row r="20" ht="12.75" customHeight="1">
      <c r="A20" s="8">
        <v>19.0</v>
      </c>
      <c r="B20" s="17">
        <f t="shared" si="1"/>
        <v>179</v>
      </c>
      <c r="C20" s="8">
        <v>397.0</v>
      </c>
      <c r="D20" s="14">
        <v>28132.0</v>
      </c>
      <c r="E20" s="8"/>
      <c r="F20" s="8"/>
      <c r="G20" s="8">
        <v>393.0</v>
      </c>
      <c r="H20" s="20">
        <f t="shared" si="11"/>
        <v>2.2</v>
      </c>
      <c r="I20" s="21">
        <f t="shared" si="21"/>
        <v>178.6363636</v>
      </c>
      <c r="J20" s="6"/>
      <c r="N20" s="23">
        <f t="shared" ref="N20:P20" si="23">B20/B19</f>
        <v>1.034682081</v>
      </c>
      <c r="O20" s="23">
        <f t="shared" si="23"/>
        <v>1.078804348</v>
      </c>
      <c r="P20" s="23">
        <f t="shared" si="23"/>
        <v>1.080006143</v>
      </c>
    </row>
    <row r="21" ht="12.75" customHeight="1">
      <c r="A21" s="8">
        <v>20.0</v>
      </c>
      <c r="B21" s="17">
        <f t="shared" si="1"/>
        <v>185</v>
      </c>
      <c r="C21" s="8">
        <v>429.0</v>
      </c>
      <c r="D21" s="24">
        <v>30382.0</v>
      </c>
      <c r="E21" s="8"/>
      <c r="F21" s="8"/>
      <c r="G21" s="8">
        <v>407.0</v>
      </c>
      <c r="H21" s="20">
        <f t="shared" si="11"/>
        <v>2.2</v>
      </c>
      <c r="I21" s="21">
        <f t="shared" si="21"/>
        <v>185</v>
      </c>
      <c r="J21" s="6"/>
      <c r="N21" s="23">
        <f t="shared" ref="N21:P21" si="24">B21/B20</f>
        <v>1.033519553</v>
      </c>
      <c r="O21" s="23">
        <f t="shared" si="24"/>
        <v>1.080604534</v>
      </c>
      <c r="P21" s="23">
        <f t="shared" si="24"/>
        <v>1.079980094</v>
      </c>
    </row>
    <row r="22" ht="12.75" customHeight="1">
      <c r="A22" s="8">
        <v>21.0</v>
      </c>
      <c r="B22" s="17">
        <f t="shared" si="1"/>
        <v>191</v>
      </c>
      <c r="C22" s="8">
        <v>463.0</v>
      </c>
      <c r="D22" s="24">
        <v>32812.0</v>
      </c>
      <c r="E22" s="8"/>
      <c r="F22" s="8"/>
      <c r="G22" s="8">
        <v>420.0</v>
      </c>
      <c r="H22" s="20">
        <f t="shared" si="11"/>
        <v>2.2</v>
      </c>
      <c r="I22" s="21">
        <f t="shared" si="21"/>
        <v>190.9090909</v>
      </c>
      <c r="J22" s="6"/>
      <c r="N22" s="23">
        <f t="shared" ref="N22:P22" si="25">B22/B21</f>
        <v>1.032432432</v>
      </c>
      <c r="O22" s="23">
        <f t="shared" si="25"/>
        <v>1.079254079</v>
      </c>
      <c r="P22" s="23">
        <f t="shared" si="25"/>
        <v>1.079981568</v>
      </c>
    </row>
    <row r="23" ht="12.75" customHeight="1">
      <c r="A23" s="8">
        <v>22.0</v>
      </c>
      <c r="B23" s="17">
        <f t="shared" si="1"/>
        <v>197</v>
      </c>
      <c r="C23" s="8">
        <v>500.0</v>
      </c>
      <c r="D23" s="24">
        <v>35436.0</v>
      </c>
      <c r="E23" s="8"/>
      <c r="F23" s="8"/>
      <c r="G23" s="8">
        <v>433.0</v>
      </c>
      <c r="H23" s="20">
        <f t="shared" si="11"/>
        <v>2.2</v>
      </c>
      <c r="I23" s="21">
        <f t="shared" si="21"/>
        <v>196.8181818</v>
      </c>
      <c r="J23" s="6"/>
      <c r="N23" s="23">
        <f t="shared" ref="N23:P23" si="26">B23/B22</f>
        <v>1.031413613</v>
      </c>
      <c r="O23" s="23">
        <f t="shared" si="26"/>
        <v>1.079913607</v>
      </c>
      <c r="P23" s="23">
        <f t="shared" si="26"/>
        <v>1.079970742</v>
      </c>
    </row>
    <row r="24" ht="12.75" customHeight="1">
      <c r="A24" s="8">
        <v>23.0</v>
      </c>
      <c r="B24" s="17">
        <f t="shared" si="1"/>
        <v>204</v>
      </c>
      <c r="C24" s="8">
        <v>540.0</v>
      </c>
      <c r="D24" s="24">
        <v>38270.0</v>
      </c>
      <c r="E24" s="8"/>
      <c r="F24" s="8"/>
      <c r="G24" s="8">
        <v>448.0</v>
      </c>
      <c r="H24" s="20">
        <f t="shared" si="11"/>
        <v>2.2</v>
      </c>
      <c r="I24" s="21">
        <f t="shared" si="21"/>
        <v>203.6363636</v>
      </c>
      <c r="J24" s="6"/>
      <c r="N24" s="23">
        <f t="shared" ref="N24:P24" si="27">B24/B23</f>
        <v>1.035532995</v>
      </c>
      <c r="O24" s="23">
        <f t="shared" si="27"/>
        <v>1.08</v>
      </c>
      <c r="P24" s="23">
        <f t="shared" si="27"/>
        <v>1.079975166</v>
      </c>
    </row>
    <row r="25" ht="12.75" customHeight="1">
      <c r="A25" s="8">
        <v>24.0</v>
      </c>
      <c r="B25" s="17">
        <f t="shared" si="1"/>
        <v>211</v>
      </c>
      <c r="C25" s="8">
        <v>583.0</v>
      </c>
      <c r="D25" s="24">
        <v>41332.0</v>
      </c>
      <c r="E25" s="8"/>
      <c r="F25" s="8"/>
      <c r="G25" s="8">
        <v>464.0</v>
      </c>
      <c r="H25" s="20">
        <f t="shared" si="11"/>
        <v>2.2</v>
      </c>
      <c r="I25" s="21">
        <f t="shared" si="21"/>
        <v>210.9090909</v>
      </c>
      <c r="J25" s="6"/>
      <c r="N25" s="23">
        <f t="shared" ref="N25:P25" si="28">B25/B24</f>
        <v>1.034313725</v>
      </c>
      <c r="O25" s="23">
        <f t="shared" si="28"/>
        <v>1.07962963</v>
      </c>
      <c r="P25" s="23">
        <f t="shared" si="28"/>
        <v>1.080010452</v>
      </c>
    </row>
    <row r="26" ht="12.75" customHeight="1">
      <c r="A26" s="8">
        <v>25.0</v>
      </c>
      <c r="B26" s="17">
        <f t="shared" si="1"/>
        <v>218</v>
      </c>
      <c r="C26" s="8">
        <v>630.0</v>
      </c>
      <c r="D26" s="24">
        <v>44638.0</v>
      </c>
      <c r="E26" s="8"/>
      <c r="F26" s="8"/>
      <c r="G26" s="8">
        <v>479.0</v>
      </c>
      <c r="H26" s="20">
        <f t="shared" si="11"/>
        <v>2.2</v>
      </c>
      <c r="I26" s="21">
        <f t="shared" si="21"/>
        <v>217.7272727</v>
      </c>
      <c r="J26" s="6"/>
      <c r="N26" s="23">
        <f t="shared" ref="N26:P26" si="29">B26/B25</f>
        <v>1.033175355</v>
      </c>
      <c r="O26" s="23">
        <f t="shared" si="29"/>
        <v>1.080617496</v>
      </c>
      <c r="P26" s="23">
        <f t="shared" si="29"/>
        <v>1.079986451</v>
      </c>
    </row>
    <row r="27" ht="12.75" customHeight="1">
      <c r="A27" s="8">
        <v>26.0</v>
      </c>
      <c r="B27" s="17">
        <f t="shared" si="1"/>
        <v>225</v>
      </c>
      <c r="C27" s="8">
        <v>680.0</v>
      </c>
      <c r="D27" s="24">
        <v>48210.0</v>
      </c>
      <c r="E27" s="8"/>
      <c r="F27" s="8"/>
      <c r="G27" s="8">
        <v>495.0</v>
      </c>
      <c r="H27" s="20">
        <f t="shared" si="11"/>
        <v>2.2</v>
      </c>
      <c r="I27" s="21">
        <f t="shared" si="21"/>
        <v>225</v>
      </c>
      <c r="J27" s="6"/>
      <c r="N27" s="23">
        <f t="shared" ref="N27:P27" si="30">B27/B26</f>
        <v>1.032110092</v>
      </c>
      <c r="O27" s="23">
        <f t="shared" si="30"/>
        <v>1.079365079</v>
      </c>
      <c r="P27" s="23">
        <f t="shared" si="30"/>
        <v>1.080021506</v>
      </c>
    </row>
    <row r="28" ht="12.75" customHeight="1">
      <c r="A28" s="8">
        <v>27.0</v>
      </c>
      <c r="B28" s="17">
        <f t="shared" si="1"/>
        <v>232</v>
      </c>
      <c r="C28" s="8">
        <v>734.0</v>
      </c>
      <c r="D28" s="24">
        <v>52066.0</v>
      </c>
      <c r="E28" s="8"/>
      <c r="F28" s="8"/>
      <c r="G28" s="8">
        <v>510.0</v>
      </c>
      <c r="H28" s="20">
        <f t="shared" si="11"/>
        <v>2.2</v>
      </c>
      <c r="I28" s="21">
        <f t="shared" si="21"/>
        <v>231.8181818</v>
      </c>
      <c r="J28" s="22"/>
      <c r="N28" s="23">
        <f t="shared" ref="N28:P28" si="31">B28/B27</f>
        <v>1.031111111</v>
      </c>
      <c r="O28" s="23">
        <f t="shared" si="31"/>
        <v>1.079411765</v>
      </c>
      <c r="P28" s="23">
        <f t="shared" si="31"/>
        <v>1.079983406</v>
      </c>
    </row>
    <row r="29" ht="12.75" customHeight="1">
      <c r="A29" s="8">
        <v>28.0</v>
      </c>
      <c r="B29" s="17">
        <f t="shared" si="1"/>
        <v>240</v>
      </c>
      <c r="C29" s="8">
        <v>793.0</v>
      </c>
      <c r="D29" s="24">
        <v>56232.0</v>
      </c>
      <c r="E29" s="8"/>
      <c r="F29" s="8"/>
      <c r="G29" s="8">
        <v>528.0</v>
      </c>
      <c r="H29" s="20">
        <f t="shared" si="11"/>
        <v>2.2</v>
      </c>
      <c r="I29" s="21">
        <f t="shared" si="21"/>
        <v>240</v>
      </c>
      <c r="J29" s="22"/>
      <c r="N29" s="23">
        <f t="shared" ref="N29:P29" si="32">B29/B28</f>
        <v>1.034482759</v>
      </c>
      <c r="O29" s="23">
        <f t="shared" si="32"/>
        <v>1.080381471</v>
      </c>
      <c r="P29" s="23">
        <f t="shared" si="32"/>
        <v>1.080013829</v>
      </c>
    </row>
    <row r="30" ht="12.75" customHeight="1">
      <c r="A30" s="8">
        <v>29.0</v>
      </c>
      <c r="B30" s="17">
        <f t="shared" si="1"/>
        <v>248</v>
      </c>
      <c r="C30" s="8">
        <v>856.0</v>
      </c>
      <c r="D30" s="24">
        <v>60730.0</v>
      </c>
      <c r="E30" s="8"/>
      <c r="F30" s="8"/>
      <c r="G30" s="8">
        <v>545.0</v>
      </c>
      <c r="H30" s="20">
        <f t="shared" si="11"/>
        <v>2.2</v>
      </c>
      <c r="I30" s="21">
        <f t="shared" si="21"/>
        <v>247.7272727</v>
      </c>
      <c r="J30" s="22"/>
      <c r="N30" s="23">
        <f t="shared" ref="N30:P30" si="33">B30/B29</f>
        <v>1.033333333</v>
      </c>
      <c r="O30" s="23">
        <f t="shared" si="33"/>
        <v>1.079445145</v>
      </c>
      <c r="P30" s="23">
        <f t="shared" si="33"/>
        <v>1.079990041</v>
      </c>
    </row>
    <row r="31" ht="12.75" customHeight="1">
      <c r="A31" s="8">
        <v>30.0</v>
      </c>
      <c r="B31" s="17">
        <f t="shared" si="1"/>
        <v>256</v>
      </c>
      <c r="C31" s="8">
        <v>924.0</v>
      </c>
      <c r="D31" s="24">
        <v>85264.0</v>
      </c>
      <c r="E31" s="8"/>
      <c r="F31" s="8"/>
      <c r="G31" s="8">
        <v>563.0</v>
      </c>
      <c r="H31" s="20">
        <f t="shared" si="11"/>
        <v>2.2</v>
      </c>
      <c r="I31" s="21">
        <f t="shared" si="21"/>
        <v>255.9090909</v>
      </c>
      <c r="J31" s="22" t="s">
        <v>64</v>
      </c>
      <c r="N31" s="23">
        <f t="shared" ref="N31:P31" si="34">B31/B30</f>
        <v>1.032258065</v>
      </c>
      <c r="O31" s="23">
        <f t="shared" si="34"/>
        <v>1.079439252</v>
      </c>
      <c r="P31" s="23">
        <f t="shared" si="34"/>
        <v>1.403984851</v>
      </c>
    </row>
    <row r="32" ht="12.75" customHeight="1">
      <c r="A32" s="8">
        <v>31.0</v>
      </c>
      <c r="B32" s="17">
        <f t="shared" si="1"/>
        <v>264</v>
      </c>
      <c r="C32" s="8">
        <v>997.0</v>
      </c>
      <c r="D32" s="24">
        <v>92087.0</v>
      </c>
      <c r="E32" s="8"/>
      <c r="F32" s="8"/>
      <c r="G32" s="8">
        <v>633.0</v>
      </c>
      <c r="H32" s="20">
        <f t="shared" si="11"/>
        <v>2.4</v>
      </c>
      <c r="I32" s="21">
        <f t="shared" ref="I32:I38" si="36">G32/2.4</f>
        <v>263.75</v>
      </c>
      <c r="J32" s="22"/>
      <c r="N32" s="23">
        <f t="shared" ref="N32:P32" si="35">B32/B31</f>
        <v>1.03125</v>
      </c>
      <c r="O32" s="23">
        <f t="shared" si="35"/>
        <v>1.079004329</v>
      </c>
      <c r="P32" s="23">
        <f t="shared" si="35"/>
        <v>1.080022049</v>
      </c>
    </row>
    <row r="33" ht="12.75" customHeight="1">
      <c r="A33" s="8">
        <v>32.0</v>
      </c>
      <c r="B33" s="17">
        <f t="shared" si="1"/>
        <v>273</v>
      </c>
      <c r="C33" s="8">
        <v>1078.0</v>
      </c>
      <c r="D33" s="24">
        <v>99453.0</v>
      </c>
      <c r="E33" s="8"/>
      <c r="F33" s="8"/>
      <c r="G33" s="8">
        <v>655.0</v>
      </c>
      <c r="H33" s="20">
        <f t="shared" si="11"/>
        <v>2.4</v>
      </c>
      <c r="I33" s="21">
        <f t="shared" si="36"/>
        <v>272.9166667</v>
      </c>
      <c r="J33" s="22"/>
      <c r="N33" s="23">
        <f t="shared" ref="N33:P33" si="37">B33/B32</f>
        <v>1.034090909</v>
      </c>
      <c r="O33" s="23">
        <f t="shared" si="37"/>
        <v>1.081243731</v>
      </c>
      <c r="P33" s="23">
        <f t="shared" si="37"/>
        <v>1.079989575</v>
      </c>
    </row>
    <row r="34" ht="12.75" customHeight="1">
      <c r="A34" s="8">
        <v>33.0</v>
      </c>
      <c r="B34" s="17">
        <f t="shared" si="1"/>
        <v>282</v>
      </c>
      <c r="C34" s="8">
        <v>1164.0</v>
      </c>
      <c r="D34" s="24">
        <v>107409.0</v>
      </c>
      <c r="E34" s="8"/>
      <c r="F34" s="8"/>
      <c r="G34" s="8">
        <v>676.0</v>
      </c>
      <c r="H34" s="20">
        <f t="shared" si="11"/>
        <v>2.4</v>
      </c>
      <c r="I34" s="21">
        <f t="shared" si="36"/>
        <v>281.6666667</v>
      </c>
      <c r="J34" s="22"/>
      <c r="N34" s="23">
        <f t="shared" ref="N34:P34" si="38">B34/B33</f>
        <v>1.032967033</v>
      </c>
      <c r="O34" s="23">
        <f t="shared" si="38"/>
        <v>1.079777365</v>
      </c>
      <c r="P34" s="23">
        <f t="shared" si="38"/>
        <v>1.079997587</v>
      </c>
    </row>
    <row r="35" ht="12.75" customHeight="1">
      <c r="A35" s="8">
        <v>34.0</v>
      </c>
      <c r="B35" s="17">
        <f t="shared" si="1"/>
        <v>291</v>
      </c>
      <c r="C35" s="8">
        <v>1257.0</v>
      </c>
      <c r="D35" s="24">
        <v>116002.0</v>
      </c>
      <c r="E35" s="8"/>
      <c r="F35" s="8"/>
      <c r="G35" s="8">
        <v>698.0</v>
      </c>
      <c r="H35" s="20">
        <f t="shared" si="11"/>
        <v>2.4</v>
      </c>
      <c r="I35" s="21">
        <f t="shared" si="36"/>
        <v>290.8333333</v>
      </c>
      <c r="J35" s="22"/>
      <c r="N35" s="23">
        <f t="shared" ref="N35:P35" si="39">B35/B34</f>
        <v>1.031914894</v>
      </c>
      <c r="O35" s="23">
        <f t="shared" si="39"/>
        <v>1.079896907</v>
      </c>
      <c r="P35" s="23">
        <f t="shared" si="39"/>
        <v>1.080002607</v>
      </c>
    </row>
    <row r="36" ht="12.75" customHeight="1">
      <c r="A36" s="8">
        <v>35.0</v>
      </c>
      <c r="B36" s="17">
        <f t="shared" si="1"/>
        <v>301</v>
      </c>
      <c r="C36" s="8">
        <v>1358.0</v>
      </c>
      <c r="D36" s="24">
        <v>125281.0</v>
      </c>
      <c r="E36" s="8"/>
      <c r="F36" s="8"/>
      <c r="G36" s="8">
        <v>722.0</v>
      </c>
      <c r="H36" s="20">
        <f t="shared" si="11"/>
        <v>2.4</v>
      </c>
      <c r="I36" s="21">
        <f t="shared" si="36"/>
        <v>300.8333333</v>
      </c>
      <c r="J36" s="22"/>
      <c r="N36" s="23">
        <f t="shared" ref="N36:P36" si="40">B36/B35</f>
        <v>1.034364261</v>
      </c>
      <c r="O36" s="23">
        <f t="shared" si="40"/>
        <v>1.08035004</v>
      </c>
      <c r="P36" s="23">
        <f t="shared" si="40"/>
        <v>1.07999</v>
      </c>
    </row>
    <row r="37" ht="12.75" customHeight="1">
      <c r="A37" s="8">
        <v>36.0</v>
      </c>
      <c r="B37" s="17">
        <f t="shared" si="1"/>
        <v>311</v>
      </c>
      <c r="C37" s="8">
        <v>1467.0</v>
      </c>
      <c r="D37" s="24">
        <v>135304.0</v>
      </c>
      <c r="E37" s="8"/>
      <c r="F37" s="8"/>
      <c r="G37" s="8">
        <v>746.0</v>
      </c>
      <c r="H37" s="20">
        <f t="shared" si="11"/>
        <v>2.4</v>
      </c>
      <c r="I37" s="21">
        <f t="shared" si="36"/>
        <v>310.8333333</v>
      </c>
      <c r="J37" s="22"/>
      <c r="N37" s="23">
        <f t="shared" ref="N37:P37" si="41">B37/B36</f>
        <v>1.033222591</v>
      </c>
      <c r="O37" s="23">
        <f t="shared" si="41"/>
        <v>1.080265096</v>
      </c>
      <c r="P37" s="23">
        <f t="shared" si="41"/>
        <v>1.080004151</v>
      </c>
    </row>
    <row r="38" ht="12.75" customHeight="1">
      <c r="A38" s="8">
        <v>37.0</v>
      </c>
      <c r="B38" s="17">
        <f t="shared" si="1"/>
        <v>321</v>
      </c>
      <c r="C38" s="8">
        <v>1584.0</v>
      </c>
      <c r="D38" s="24">
        <v>146128.0</v>
      </c>
      <c r="E38" s="8"/>
      <c r="F38" s="8"/>
      <c r="G38" s="8">
        <v>770.0</v>
      </c>
      <c r="H38" s="20">
        <f t="shared" si="11"/>
        <v>2.4</v>
      </c>
      <c r="I38" s="21">
        <f t="shared" si="36"/>
        <v>320.8333333</v>
      </c>
      <c r="J38" s="22" t="s">
        <v>75</v>
      </c>
      <c r="N38" s="23">
        <f t="shared" ref="N38:P38" si="42">B38/B37</f>
        <v>1.032154341</v>
      </c>
      <c r="O38" s="23">
        <f t="shared" si="42"/>
        <v>1.079754601</v>
      </c>
      <c r="P38" s="23">
        <f t="shared" si="42"/>
        <v>1.079997635</v>
      </c>
    </row>
    <row r="39" ht="12.75" customHeight="1">
      <c r="A39" s="8">
        <v>38.0</v>
      </c>
      <c r="B39" s="17">
        <f t="shared" si="1"/>
        <v>332</v>
      </c>
      <c r="C39" s="8">
        <v>1711.0</v>
      </c>
      <c r="D39" s="24">
        <v>157817.0</v>
      </c>
      <c r="E39" s="8"/>
      <c r="F39" s="8"/>
      <c r="G39" s="8">
        <v>929.0</v>
      </c>
      <c r="H39" s="20">
        <f t="shared" si="11"/>
        <v>2.8</v>
      </c>
      <c r="I39" s="21">
        <f t="shared" ref="I39:I40" si="44">G39/2.8</f>
        <v>331.7857143</v>
      </c>
      <c r="J39" s="22"/>
      <c r="N39" s="23">
        <f t="shared" ref="N39:P39" si="43">B39/B38</f>
        <v>1.034267913</v>
      </c>
      <c r="O39" s="23">
        <f t="shared" si="43"/>
        <v>1.080176768</v>
      </c>
      <c r="P39" s="23">
        <f t="shared" si="43"/>
        <v>1.079991514</v>
      </c>
    </row>
    <row r="40" ht="12.75" customHeight="1">
      <c r="A40" s="8">
        <v>39.0</v>
      </c>
      <c r="B40" s="17">
        <f t="shared" si="1"/>
        <v>343</v>
      </c>
      <c r="C40" s="8">
        <v>1848.0</v>
      </c>
      <c r="D40" s="24">
        <v>170443.0</v>
      </c>
      <c r="E40" s="8"/>
      <c r="F40" s="8"/>
      <c r="G40" s="8">
        <v>960.0</v>
      </c>
      <c r="H40" s="20">
        <f t="shared" si="11"/>
        <v>2.8</v>
      </c>
      <c r="I40" s="21">
        <f t="shared" si="44"/>
        <v>342.8571429</v>
      </c>
      <c r="J40" s="22" t="s">
        <v>76</v>
      </c>
      <c r="N40" s="23">
        <f t="shared" ref="N40:P40" si="45">B40/B39</f>
        <v>1.03313253</v>
      </c>
      <c r="O40" s="23">
        <f t="shared" si="45"/>
        <v>1.080070134</v>
      </c>
      <c r="P40" s="23">
        <f t="shared" si="45"/>
        <v>1.080004055</v>
      </c>
    </row>
    <row r="41" ht="12.75" customHeight="1">
      <c r="A41" s="8">
        <v>40.0</v>
      </c>
      <c r="B41" s="17">
        <f t="shared" si="1"/>
        <v>354</v>
      </c>
      <c r="C41" s="8">
        <v>1995.0</v>
      </c>
      <c r="D41" s="24">
        <v>184078.0</v>
      </c>
      <c r="E41" s="8"/>
      <c r="F41" s="8"/>
      <c r="G41" s="8">
        <v>1062.0</v>
      </c>
      <c r="H41" s="20">
        <f t="shared" si="11"/>
        <v>3</v>
      </c>
      <c r="I41" s="21">
        <f>G41/3</f>
        <v>354</v>
      </c>
      <c r="J41" s="22" t="s">
        <v>79</v>
      </c>
      <c r="N41" s="23">
        <f t="shared" ref="N41:P41" si="46">B41/B40</f>
        <v>1.032069971</v>
      </c>
      <c r="O41" s="23">
        <f t="shared" si="46"/>
        <v>1.079545455</v>
      </c>
      <c r="P41" s="23">
        <f t="shared" si="46"/>
        <v>1.079997418</v>
      </c>
    </row>
    <row r="42" ht="12.75" customHeight="1">
      <c r="A42" s="8">
        <v>41.0</v>
      </c>
      <c r="B42" s="17">
        <f t="shared" si="1"/>
        <v>366</v>
      </c>
      <c r="C42" s="8">
        <v>2156.0</v>
      </c>
      <c r="D42" s="14">
        <v>198804.0</v>
      </c>
      <c r="E42" s="8"/>
      <c r="F42" s="8"/>
      <c r="G42" s="8">
        <v>1317.0</v>
      </c>
      <c r="H42" s="20">
        <f t="shared" si="11"/>
        <v>3.6</v>
      </c>
      <c r="I42" s="21">
        <f t="shared" ref="I42:I48" si="48">G42/3.6</f>
        <v>365.8333333</v>
      </c>
      <c r="J42" s="22"/>
      <c r="N42" s="23">
        <f t="shared" ref="N42:P42" si="47">B42/B41</f>
        <v>1.033898305</v>
      </c>
      <c r="O42" s="23">
        <f t="shared" si="47"/>
        <v>1.080701754</v>
      </c>
      <c r="P42" s="23">
        <f t="shared" si="47"/>
        <v>1.079998696</v>
      </c>
    </row>
    <row r="43" ht="12.75" customHeight="1">
      <c r="A43" s="8">
        <v>42.0</v>
      </c>
      <c r="B43" s="17">
        <f t="shared" si="1"/>
        <v>378</v>
      </c>
      <c r="C43" s="8">
        <v>2328.0</v>
      </c>
      <c r="D43" s="14">
        <v>214708.0</v>
      </c>
      <c r="E43" s="8"/>
      <c r="F43" s="8"/>
      <c r="G43" s="8">
        <v>1360.0</v>
      </c>
      <c r="H43" s="20">
        <f t="shared" si="11"/>
        <v>3.6</v>
      </c>
      <c r="I43" s="21">
        <f t="shared" si="48"/>
        <v>377.7777778</v>
      </c>
      <c r="J43" s="22"/>
      <c r="N43" s="23">
        <f t="shared" ref="N43:P43" si="49">B43/B42</f>
        <v>1.032786885</v>
      </c>
      <c r="O43" s="23">
        <f t="shared" si="49"/>
        <v>1.079777365</v>
      </c>
      <c r="P43" s="23">
        <f t="shared" si="49"/>
        <v>1.07999839</v>
      </c>
    </row>
    <row r="44" ht="12.75" customHeight="1">
      <c r="A44" s="8">
        <v>43.0</v>
      </c>
      <c r="B44" s="17">
        <f t="shared" si="1"/>
        <v>390</v>
      </c>
      <c r="C44" s="8">
        <v>2514.0</v>
      </c>
      <c r="D44" s="14">
        <v>231885.0</v>
      </c>
      <c r="E44" s="8"/>
      <c r="F44" s="8"/>
      <c r="G44" s="8">
        <v>1404.0</v>
      </c>
      <c r="H44" s="20">
        <f t="shared" si="11"/>
        <v>3.6</v>
      </c>
      <c r="I44" s="21">
        <f t="shared" si="48"/>
        <v>390</v>
      </c>
      <c r="J44" s="22"/>
      <c r="N44" s="23">
        <f t="shared" ref="N44:P44" si="50">B44/B43</f>
        <v>1.031746032</v>
      </c>
      <c r="O44" s="23">
        <f t="shared" si="50"/>
        <v>1.079896907</v>
      </c>
      <c r="P44" s="23">
        <f t="shared" si="50"/>
        <v>1.080001677</v>
      </c>
    </row>
    <row r="45" ht="12.75" customHeight="1">
      <c r="A45" s="8">
        <v>44.0</v>
      </c>
      <c r="B45" s="17">
        <f t="shared" si="1"/>
        <v>403</v>
      </c>
      <c r="C45" s="8">
        <v>2715.0</v>
      </c>
      <c r="D45" s="14">
        <v>250436.0</v>
      </c>
      <c r="E45" s="8"/>
      <c r="F45" s="8"/>
      <c r="G45" s="8">
        <v>1450.0</v>
      </c>
      <c r="H45" s="20">
        <f t="shared" si="11"/>
        <v>3.6</v>
      </c>
      <c r="I45" s="21">
        <f t="shared" si="48"/>
        <v>402.7777778</v>
      </c>
      <c r="J45" s="22"/>
      <c r="N45" s="23">
        <f t="shared" ref="N45:P45" si="51">B45/B44</f>
        <v>1.033333333</v>
      </c>
      <c r="O45" s="23">
        <f t="shared" si="51"/>
        <v>1.079952267</v>
      </c>
      <c r="P45" s="23">
        <f t="shared" si="51"/>
        <v>1.080000862</v>
      </c>
    </row>
    <row r="46" ht="12.75" customHeight="1">
      <c r="A46" s="8">
        <v>45.0</v>
      </c>
      <c r="B46" s="17">
        <f t="shared" si="1"/>
        <v>416</v>
      </c>
      <c r="C46" s="8">
        <v>2932.0</v>
      </c>
      <c r="D46" s="14">
        <v>270471.0</v>
      </c>
      <c r="E46" s="8"/>
      <c r="F46" s="8"/>
      <c r="G46" s="8">
        <v>1497.0</v>
      </c>
      <c r="H46" s="20">
        <f t="shared" si="11"/>
        <v>3.6</v>
      </c>
      <c r="I46" s="21">
        <f t="shared" si="48"/>
        <v>415.8333333</v>
      </c>
      <c r="J46" s="22"/>
      <c r="N46" s="23">
        <f t="shared" ref="N46:P46" si="52">B46/B45</f>
        <v>1.032258065</v>
      </c>
      <c r="O46" s="23">
        <f t="shared" si="52"/>
        <v>1.079926335</v>
      </c>
      <c r="P46" s="23">
        <f t="shared" si="52"/>
        <v>1.080000479</v>
      </c>
    </row>
    <row r="47" ht="12.75" customHeight="1">
      <c r="A47" s="8">
        <v>46.0</v>
      </c>
      <c r="B47" s="17">
        <f t="shared" si="1"/>
        <v>430</v>
      </c>
      <c r="C47" s="8">
        <v>3167.0</v>
      </c>
      <c r="D47" s="14">
        <v>292109.0</v>
      </c>
      <c r="E47" s="8"/>
      <c r="F47" s="8"/>
      <c r="G47" s="8">
        <v>1548.0</v>
      </c>
      <c r="H47" s="20">
        <f t="shared" si="11"/>
        <v>3.6</v>
      </c>
      <c r="I47" s="21">
        <f t="shared" si="48"/>
        <v>430</v>
      </c>
      <c r="J47" s="22"/>
      <c r="N47" s="23">
        <f t="shared" ref="N47:P47" si="53">B47/B46</f>
        <v>1.033653846</v>
      </c>
      <c r="O47" s="23">
        <f t="shared" si="53"/>
        <v>1.080150068</v>
      </c>
      <c r="P47" s="23">
        <f t="shared" si="53"/>
        <v>1.080001183</v>
      </c>
    </row>
    <row r="48" ht="12.75" customHeight="1">
      <c r="A48" s="8">
        <v>47.0</v>
      </c>
      <c r="B48" s="17">
        <f t="shared" si="1"/>
        <v>444</v>
      </c>
      <c r="C48" s="8">
        <v>3420.0</v>
      </c>
      <c r="D48" s="14">
        <v>315478.0</v>
      </c>
      <c r="E48" s="8"/>
      <c r="F48" s="8"/>
      <c r="G48" s="8">
        <v>1598.0</v>
      </c>
      <c r="H48" s="20">
        <f t="shared" si="11"/>
        <v>3.6</v>
      </c>
      <c r="I48" s="21">
        <f t="shared" si="48"/>
        <v>443.8888889</v>
      </c>
      <c r="J48" s="6" t="s">
        <v>128</v>
      </c>
      <c r="N48" s="23">
        <f t="shared" ref="N48:P48" si="54">B48/B47</f>
        <v>1.03255814</v>
      </c>
      <c r="O48" s="23">
        <f t="shared" si="54"/>
        <v>1.079886328</v>
      </c>
      <c r="P48" s="23">
        <f t="shared" si="54"/>
        <v>1.080000959</v>
      </c>
    </row>
    <row r="49" ht="12.75" customHeight="1">
      <c r="A49" s="8">
        <v>48.0</v>
      </c>
      <c r="B49" s="17">
        <f t="shared" si="1"/>
        <v>459</v>
      </c>
      <c r="C49" s="8">
        <v>3693.0</v>
      </c>
      <c r="D49" s="14">
        <v>340716.0</v>
      </c>
      <c r="E49" s="8"/>
      <c r="F49" s="8"/>
      <c r="G49" s="8">
        <v>1744.0</v>
      </c>
      <c r="H49" s="20">
        <f t="shared" si="11"/>
        <v>3.8</v>
      </c>
      <c r="I49" s="21">
        <f>G49/3.8</f>
        <v>458.9473684</v>
      </c>
      <c r="J49" s="6" t="s">
        <v>134</v>
      </c>
      <c r="N49" s="23">
        <f t="shared" ref="N49:P49" si="55">B49/B48</f>
        <v>1.033783784</v>
      </c>
      <c r="O49" s="23">
        <f t="shared" si="55"/>
        <v>1.079824561</v>
      </c>
      <c r="P49" s="23">
        <f t="shared" si="55"/>
        <v>1.079999239</v>
      </c>
    </row>
    <row r="50" ht="12.75" customHeight="1">
      <c r="A50" s="8">
        <v>49.0</v>
      </c>
      <c r="B50" s="17">
        <f t="shared" si="1"/>
        <v>474</v>
      </c>
      <c r="C50" s="8">
        <v>3990.0</v>
      </c>
      <c r="D50" s="14">
        <v>367973.0</v>
      </c>
      <c r="E50" s="8"/>
      <c r="F50" s="8"/>
      <c r="G50" s="8">
        <v>1895.0</v>
      </c>
      <c r="H50" s="20">
        <f t="shared" si="11"/>
        <v>4</v>
      </c>
      <c r="I50" s="21">
        <f>G50/4</f>
        <v>473.75</v>
      </c>
      <c r="J50" s="5" t="s">
        <v>139</v>
      </c>
      <c r="N50" s="23">
        <f t="shared" ref="N50:P50" si="56">B50/B49</f>
        <v>1.032679739</v>
      </c>
      <c r="O50" s="23">
        <f t="shared" si="56"/>
        <v>1.080422421</v>
      </c>
      <c r="P50" s="23">
        <f t="shared" si="56"/>
        <v>1.079999178</v>
      </c>
    </row>
    <row r="51" ht="12.75" customHeight="1">
      <c r="A51" s="49">
        <v>50.0</v>
      </c>
      <c r="B51" s="50">
        <v>500.0</v>
      </c>
      <c r="C51" s="9">
        <v>4500.0</v>
      </c>
      <c r="D51" s="14">
        <v>400000.0</v>
      </c>
      <c r="E51" s="9"/>
      <c r="F51" s="9"/>
      <c r="G51" s="9">
        <v>2100.0</v>
      </c>
      <c r="H51" s="20">
        <f t="shared" si="11"/>
        <v>4.2</v>
      </c>
      <c r="I51" s="51">
        <v>500.0</v>
      </c>
      <c r="J51" s="22"/>
      <c r="N51" s="23">
        <f t="shared" ref="N51:P51" si="57">B51/B50</f>
        <v>1.054852321</v>
      </c>
      <c r="O51" s="23">
        <f t="shared" si="57"/>
        <v>1.127819549</v>
      </c>
      <c r="P51" s="23">
        <f t="shared" si="57"/>
        <v>1.087036277</v>
      </c>
    </row>
    <row r="52" ht="12.75" customHeight="1">
      <c r="A52" s="53">
        <v>51.0</v>
      </c>
      <c r="B52" s="54">
        <v>500.5</v>
      </c>
      <c r="C52" s="55">
        <v>4502.0</v>
      </c>
      <c r="D52" s="56">
        <v>400000.0</v>
      </c>
      <c r="E52" s="9"/>
      <c r="F52" s="9"/>
      <c r="G52" s="55">
        <v>2102.0</v>
      </c>
      <c r="H52" s="20">
        <f t="shared" si="11"/>
        <v>4.199968031</v>
      </c>
      <c r="I52" s="51">
        <v>500.48</v>
      </c>
      <c r="J52" s="22" t="s">
        <v>146</v>
      </c>
      <c r="N52" s="57">
        <f t="shared" ref="N52:P52" si="58">B52/B51</f>
        <v>1.001</v>
      </c>
      <c r="O52" s="57">
        <f t="shared" si="58"/>
        <v>1.000444444</v>
      </c>
      <c r="P52" s="57">
        <f t="shared" si="58"/>
        <v>1</v>
      </c>
    </row>
    <row r="53" ht="12.75" customHeight="1">
      <c r="A53" s="53">
        <v>52.0</v>
      </c>
      <c r="B53" s="54">
        <v>501.0</v>
      </c>
      <c r="C53" s="55">
        <v>4504.0</v>
      </c>
      <c r="D53" s="56">
        <v>400000.0</v>
      </c>
      <c r="E53" s="9"/>
      <c r="F53" s="9"/>
      <c r="G53" s="55">
        <v>2505.0</v>
      </c>
      <c r="H53" s="20">
        <v>5.0</v>
      </c>
      <c r="I53" s="51">
        <v>501.0</v>
      </c>
      <c r="J53" s="14"/>
      <c r="N53" s="57">
        <f t="shared" ref="N53:P53" si="59">B53/B52</f>
        <v>1.000999001</v>
      </c>
      <c r="O53" s="57">
        <f t="shared" si="59"/>
        <v>1.000444247</v>
      </c>
      <c r="P53" s="57">
        <f t="shared" si="59"/>
        <v>1</v>
      </c>
      <c r="R53" s="15" t="s">
        <v>148</v>
      </c>
    </row>
    <row r="54" ht="12.75" customHeight="1">
      <c r="A54" s="53">
        <v>53.0</v>
      </c>
      <c r="B54" s="54">
        <v>501.5</v>
      </c>
      <c r="C54" s="55">
        <v>4506.0</v>
      </c>
      <c r="D54" s="56">
        <v>400000.0</v>
      </c>
      <c r="E54" s="9"/>
      <c r="F54" s="9"/>
      <c r="G54" s="55">
        <v>2507.0</v>
      </c>
      <c r="H54" s="20">
        <v>5.0</v>
      </c>
      <c r="I54" s="51">
        <v>501.4</v>
      </c>
      <c r="J54" s="14"/>
      <c r="N54" s="57">
        <f t="shared" ref="N54:P54" si="60">B54/B53</f>
        <v>1.000998004</v>
      </c>
      <c r="O54" s="57">
        <f t="shared" si="60"/>
        <v>1.00044405</v>
      </c>
      <c r="P54" s="57">
        <f t="shared" si="60"/>
        <v>1</v>
      </c>
      <c r="R54" s="15" t="s">
        <v>150</v>
      </c>
    </row>
    <row r="55" ht="12.75" customHeight="1">
      <c r="A55" s="53">
        <v>54.0</v>
      </c>
      <c r="B55" s="54">
        <v>502.0</v>
      </c>
      <c r="C55" s="55">
        <v>4508.0</v>
      </c>
      <c r="D55" s="56">
        <v>400000.0</v>
      </c>
      <c r="E55" s="9"/>
      <c r="F55" s="9"/>
      <c r="G55" s="55">
        <v>2510.0</v>
      </c>
      <c r="H55" s="20">
        <v>5.0</v>
      </c>
      <c r="I55" s="51">
        <v>502.0</v>
      </c>
      <c r="J55" s="14"/>
      <c r="N55" s="57">
        <f t="shared" ref="N55:P55" si="61">B55/B54</f>
        <v>1.000997009</v>
      </c>
      <c r="O55" s="57">
        <f t="shared" si="61"/>
        <v>1.000443853</v>
      </c>
      <c r="P55" s="57">
        <f t="shared" si="61"/>
        <v>1</v>
      </c>
      <c r="R55" s="15" t="s">
        <v>152</v>
      </c>
    </row>
    <row r="56" ht="12.75" customHeight="1">
      <c r="A56" s="53">
        <v>55.0</v>
      </c>
      <c r="B56" s="54">
        <v>502.5</v>
      </c>
      <c r="C56" s="55">
        <v>4510.0</v>
      </c>
      <c r="D56" s="56">
        <v>400000.0</v>
      </c>
      <c r="E56" s="9"/>
      <c r="F56" s="9"/>
      <c r="G56" s="55">
        <v>2512.0</v>
      </c>
      <c r="H56" s="20">
        <v>5.0</v>
      </c>
      <c r="I56" s="51">
        <v>502.4</v>
      </c>
      <c r="J56" s="14"/>
      <c r="N56" s="57">
        <f t="shared" ref="N56:P56" si="62">B56/B55</f>
        <v>1.000996016</v>
      </c>
      <c r="O56" s="57">
        <f t="shared" si="62"/>
        <v>1.000443656</v>
      </c>
      <c r="P56" s="57">
        <f t="shared" si="62"/>
        <v>1</v>
      </c>
      <c r="R56" s="15" t="s">
        <v>153</v>
      </c>
    </row>
    <row r="57" ht="12.75" customHeight="1">
      <c r="A57" s="53">
        <v>56.0</v>
      </c>
      <c r="B57" s="54">
        <v>503.0</v>
      </c>
      <c r="C57" s="55">
        <v>4512.0</v>
      </c>
      <c r="D57" s="56">
        <v>400000.0</v>
      </c>
      <c r="E57" s="9"/>
      <c r="F57" s="9"/>
      <c r="G57" s="55">
        <v>2515.0</v>
      </c>
      <c r="H57" s="20">
        <v>5.0</v>
      </c>
      <c r="I57" s="51">
        <v>503.0</v>
      </c>
      <c r="J57" s="14"/>
      <c r="N57" s="57">
        <f t="shared" ref="N57:P57" si="63">B57/B56</f>
        <v>1.000995025</v>
      </c>
      <c r="O57" s="57">
        <f t="shared" si="63"/>
        <v>1.000443459</v>
      </c>
      <c r="P57" s="57">
        <f t="shared" si="63"/>
        <v>1</v>
      </c>
    </row>
    <row r="58" ht="12.75" customHeight="1">
      <c r="A58" s="53">
        <v>57.0</v>
      </c>
      <c r="B58" s="54">
        <v>503.5</v>
      </c>
      <c r="C58" s="55">
        <v>4514.0</v>
      </c>
      <c r="D58" s="56">
        <v>400000.0</v>
      </c>
      <c r="E58" s="9"/>
      <c r="F58" s="9"/>
      <c r="G58" s="55">
        <v>2517.0</v>
      </c>
      <c r="H58" s="20">
        <v>5.0</v>
      </c>
      <c r="I58" s="51">
        <v>503.4</v>
      </c>
      <c r="J58" s="14"/>
      <c r="N58" s="57">
        <f t="shared" ref="N58:P58" si="64">B58/B57</f>
        <v>1.000994036</v>
      </c>
      <c r="O58" s="57">
        <f t="shared" si="64"/>
        <v>1.000443262</v>
      </c>
      <c r="P58" s="57">
        <f t="shared" si="64"/>
        <v>1</v>
      </c>
    </row>
    <row r="59" ht="12.75" customHeight="1">
      <c r="A59" s="53">
        <v>58.0</v>
      </c>
      <c r="B59" s="54">
        <v>504.0</v>
      </c>
      <c r="C59" s="55">
        <v>4516.0</v>
      </c>
      <c r="D59" s="56">
        <v>400000.0</v>
      </c>
      <c r="E59" s="9"/>
      <c r="F59" s="9"/>
      <c r="G59" s="55">
        <v>2520.0</v>
      </c>
      <c r="H59" s="20">
        <v>5.0</v>
      </c>
      <c r="I59" s="51">
        <v>504.0</v>
      </c>
      <c r="J59" s="14"/>
      <c r="N59" s="57">
        <f t="shared" ref="N59:P59" si="65">B59/B58</f>
        <v>1.000993049</v>
      </c>
      <c r="O59" s="57">
        <f t="shared" si="65"/>
        <v>1.000443066</v>
      </c>
      <c r="P59" s="57">
        <f t="shared" si="65"/>
        <v>1</v>
      </c>
    </row>
    <row r="60" ht="12.75" customHeight="1">
      <c r="A60" s="53">
        <v>59.0</v>
      </c>
      <c r="B60" s="54">
        <v>504.5</v>
      </c>
      <c r="C60" s="55">
        <v>4518.0</v>
      </c>
      <c r="D60" s="56">
        <v>400000.0</v>
      </c>
      <c r="E60" s="9"/>
      <c r="F60" s="9"/>
      <c r="G60" s="55">
        <f>G59+2</f>
        <v>2522</v>
      </c>
      <c r="H60" s="20">
        <v>5.0</v>
      </c>
      <c r="I60" s="51">
        <v>504.4</v>
      </c>
      <c r="J60" s="14"/>
      <c r="N60" s="57">
        <f t="shared" ref="N60:P60" si="66">B60/B59</f>
        <v>1.000992063</v>
      </c>
      <c r="O60" s="57">
        <f t="shared" si="66"/>
        <v>1.00044287</v>
      </c>
      <c r="P60" s="57">
        <f t="shared" si="66"/>
        <v>1</v>
      </c>
    </row>
    <row r="61" ht="12.75" customHeight="1">
      <c r="A61" s="53">
        <v>60.0</v>
      </c>
      <c r="B61" s="54">
        <v>505.0</v>
      </c>
      <c r="C61" s="55">
        <v>4520.0</v>
      </c>
      <c r="D61" s="56">
        <v>400000.0</v>
      </c>
      <c r="E61" s="9"/>
      <c r="F61" s="9"/>
      <c r="G61" s="55">
        <f>G60+3</f>
        <v>2525</v>
      </c>
      <c r="H61" s="20">
        <v>5.0</v>
      </c>
      <c r="I61" s="51">
        <v>505.0</v>
      </c>
      <c r="J61" s="14"/>
      <c r="N61" s="57">
        <f t="shared" ref="N61:P61" si="67">B61/B60</f>
        <v>1.00099108</v>
      </c>
      <c r="O61" s="57">
        <f t="shared" si="67"/>
        <v>1.000442674</v>
      </c>
      <c r="P61" s="57">
        <f t="shared" si="67"/>
        <v>1</v>
      </c>
    </row>
    <row r="62" ht="12.75" customHeight="1">
      <c r="A62" s="53">
        <v>61.0</v>
      </c>
      <c r="B62" s="54">
        <v>505.5</v>
      </c>
      <c r="C62" s="55">
        <v>4522.0</v>
      </c>
      <c r="D62" s="56">
        <v>400000.0</v>
      </c>
      <c r="E62" s="9"/>
      <c r="F62" s="9"/>
      <c r="G62" s="55">
        <f>G61+2</f>
        <v>2527</v>
      </c>
      <c r="H62" s="20">
        <v>5.0</v>
      </c>
      <c r="I62" s="51">
        <v>505.4</v>
      </c>
      <c r="J62" s="14"/>
      <c r="N62" s="57">
        <f t="shared" ref="N62:P62" si="68">B62/B61</f>
        <v>1.000990099</v>
      </c>
      <c r="O62" s="57">
        <f t="shared" si="68"/>
        <v>1.000442478</v>
      </c>
      <c r="P62" s="57">
        <f t="shared" si="68"/>
        <v>1</v>
      </c>
    </row>
    <row r="63" ht="12.75" customHeight="1">
      <c r="A63" s="53">
        <v>62.0</v>
      </c>
      <c r="B63" s="54">
        <v>506.0</v>
      </c>
      <c r="C63" s="55">
        <v>4524.0</v>
      </c>
      <c r="D63" s="56">
        <v>400000.0</v>
      </c>
      <c r="E63" s="9"/>
      <c r="F63" s="9"/>
      <c r="G63" s="55">
        <f>G62+3</f>
        <v>2530</v>
      </c>
      <c r="H63" s="20">
        <v>5.0</v>
      </c>
      <c r="I63" s="51">
        <v>506.0</v>
      </c>
      <c r="J63" s="14"/>
      <c r="N63" s="57">
        <f t="shared" ref="N63:P63" si="69">B63/B62</f>
        <v>1.00098912</v>
      </c>
      <c r="O63" s="57">
        <f t="shared" si="69"/>
        <v>1.000442282</v>
      </c>
      <c r="P63" s="57">
        <f t="shared" si="69"/>
        <v>1</v>
      </c>
    </row>
    <row r="64" ht="12.75" customHeight="1">
      <c r="A64" s="53">
        <v>63.0</v>
      </c>
      <c r="B64" s="54">
        <v>506.5</v>
      </c>
      <c r="C64" s="55">
        <v>4526.0</v>
      </c>
      <c r="D64" s="56">
        <v>400000.0</v>
      </c>
      <c r="E64" s="9"/>
      <c r="F64" s="9"/>
      <c r="G64" s="55">
        <f>G63+2</f>
        <v>2532</v>
      </c>
      <c r="H64" s="20">
        <v>5.0</v>
      </c>
      <c r="I64" s="51">
        <v>506.4</v>
      </c>
      <c r="J64" s="14"/>
      <c r="N64" s="57">
        <f t="shared" ref="N64:P64" si="70">B64/B63</f>
        <v>1.000988142</v>
      </c>
      <c r="O64" s="57">
        <f t="shared" si="70"/>
        <v>1.000442087</v>
      </c>
      <c r="P64" s="57">
        <f t="shared" si="70"/>
        <v>1</v>
      </c>
    </row>
    <row r="65" ht="12.75" customHeight="1">
      <c r="A65" s="53">
        <v>64.0</v>
      </c>
      <c r="B65" s="54">
        <v>507.0</v>
      </c>
      <c r="C65" s="55">
        <v>4528.0</v>
      </c>
      <c r="D65" s="56">
        <v>400000.0</v>
      </c>
      <c r="E65" s="9"/>
      <c r="F65" s="9"/>
      <c r="G65" s="55">
        <v>2535.0</v>
      </c>
      <c r="H65" s="20">
        <v>5.0</v>
      </c>
      <c r="I65" s="51">
        <v>507.0</v>
      </c>
      <c r="J65" s="14"/>
      <c r="N65" s="57">
        <f t="shared" ref="N65:P65" si="71">B65/B64</f>
        <v>1.000987167</v>
      </c>
      <c r="O65" s="57">
        <f t="shared" si="71"/>
        <v>1.000441891</v>
      </c>
      <c r="P65" s="57">
        <f t="shared" si="71"/>
        <v>1</v>
      </c>
    </row>
    <row r="66" ht="12.75" customHeight="1">
      <c r="A66" s="53">
        <v>65.0</v>
      </c>
      <c r="B66" s="54">
        <v>507.5</v>
      </c>
      <c r="C66" s="55">
        <v>4530.0</v>
      </c>
      <c r="D66" s="56">
        <v>400000.0</v>
      </c>
      <c r="E66" s="8"/>
      <c r="F66" s="8"/>
      <c r="G66" s="55">
        <f>G65+2</f>
        <v>2537</v>
      </c>
      <c r="H66" s="20">
        <v>5.0</v>
      </c>
      <c r="I66" s="51">
        <v>507.4</v>
      </c>
      <c r="J66" s="14"/>
      <c r="N66" s="57">
        <f t="shared" ref="N66:P66" si="72">B66/B65</f>
        <v>1.000986193</v>
      </c>
      <c r="O66" s="57">
        <f t="shared" si="72"/>
        <v>1.000441696</v>
      </c>
      <c r="P66" s="57">
        <f t="shared" si="72"/>
        <v>1</v>
      </c>
    </row>
    <row r="67" ht="12.75" customHeight="1">
      <c r="A67" s="53">
        <v>66.0</v>
      </c>
      <c r="B67" s="54">
        <v>508.0</v>
      </c>
      <c r="C67" s="55">
        <v>4532.0</v>
      </c>
      <c r="D67" s="56">
        <v>400000.0</v>
      </c>
      <c r="E67" s="8"/>
      <c r="F67" s="8"/>
      <c r="G67" s="55">
        <f>G66+3</f>
        <v>2540</v>
      </c>
      <c r="H67" s="20">
        <v>5.0</v>
      </c>
      <c r="I67" s="51">
        <v>508.0</v>
      </c>
      <c r="J67" s="14"/>
      <c r="N67" s="57">
        <f t="shared" ref="N67:P67" si="73">B67/B66</f>
        <v>1.000985222</v>
      </c>
      <c r="O67" s="57">
        <f t="shared" si="73"/>
        <v>1.000441501</v>
      </c>
      <c r="P67" s="57">
        <f t="shared" si="73"/>
        <v>1</v>
      </c>
    </row>
    <row r="68" ht="12.75" customHeight="1">
      <c r="A68" s="53">
        <v>67.0</v>
      </c>
      <c r="B68" s="54">
        <v>508.5</v>
      </c>
      <c r="C68" s="55">
        <v>4534.0</v>
      </c>
      <c r="D68" s="56">
        <v>400000.0</v>
      </c>
      <c r="E68" s="8"/>
      <c r="F68" s="8"/>
      <c r="G68" s="55">
        <f>G67+2</f>
        <v>2542</v>
      </c>
      <c r="H68" s="20">
        <v>5.0</v>
      </c>
      <c r="I68" s="51">
        <v>508.4</v>
      </c>
      <c r="J68" s="14"/>
      <c r="N68" s="57">
        <f t="shared" ref="N68:P68" si="74">B68/B67</f>
        <v>1.000984252</v>
      </c>
      <c r="O68" s="57">
        <f t="shared" si="74"/>
        <v>1.000441306</v>
      </c>
      <c r="P68" s="57">
        <f t="shared" si="74"/>
        <v>1</v>
      </c>
    </row>
    <row r="69" ht="12.75" customHeight="1">
      <c r="A69" s="53">
        <v>68.0</v>
      </c>
      <c r="B69" s="54">
        <v>509.0</v>
      </c>
      <c r="C69" s="55">
        <v>4536.0</v>
      </c>
      <c r="D69" s="56">
        <v>400000.0</v>
      </c>
      <c r="E69" s="8"/>
      <c r="F69" s="8"/>
      <c r="G69" s="55">
        <f>G68+3</f>
        <v>2545</v>
      </c>
      <c r="H69" s="20">
        <v>5.0</v>
      </c>
      <c r="I69" s="51">
        <v>509.0</v>
      </c>
      <c r="J69" s="14"/>
      <c r="N69" s="57">
        <f t="shared" ref="N69:P69" si="75">B69/B68</f>
        <v>1.000983284</v>
      </c>
      <c r="O69" s="57">
        <f t="shared" si="75"/>
        <v>1.000441112</v>
      </c>
      <c r="P69" s="57">
        <f t="shared" si="75"/>
        <v>1</v>
      </c>
    </row>
    <row r="70" ht="12.75" customHeight="1">
      <c r="A70" s="53">
        <v>69.0</v>
      </c>
      <c r="B70" s="54">
        <v>509.5</v>
      </c>
      <c r="C70" s="55">
        <v>4538.0</v>
      </c>
      <c r="D70" s="56">
        <v>400000.0</v>
      </c>
      <c r="E70" s="8"/>
      <c r="F70" s="8"/>
      <c r="G70" s="55">
        <f>G69+2</f>
        <v>2547</v>
      </c>
      <c r="H70" s="20">
        <v>5.0</v>
      </c>
      <c r="I70" s="51">
        <v>509.4</v>
      </c>
      <c r="J70" s="14"/>
      <c r="N70" s="57">
        <f t="shared" ref="N70:P70" si="76">B70/B69</f>
        <v>1.000982318</v>
      </c>
      <c r="O70" s="57">
        <f t="shared" si="76"/>
        <v>1.000440917</v>
      </c>
      <c r="P70" s="57">
        <f t="shared" si="76"/>
        <v>1</v>
      </c>
    </row>
    <row r="71" ht="12.75" customHeight="1">
      <c r="A71" s="53">
        <v>70.0</v>
      </c>
      <c r="B71" s="54">
        <v>510.0</v>
      </c>
      <c r="C71" s="55">
        <v>4540.0</v>
      </c>
      <c r="D71" s="56">
        <v>400000.0</v>
      </c>
      <c r="E71" s="8"/>
      <c r="F71" s="8"/>
      <c r="G71" s="55">
        <f>G70+3</f>
        <v>2550</v>
      </c>
      <c r="H71" s="20">
        <v>5.0</v>
      </c>
      <c r="I71" s="51">
        <v>510.0</v>
      </c>
      <c r="J71" s="14"/>
      <c r="N71" s="57">
        <f t="shared" ref="N71:P71" si="77">B71/B70</f>
        <v>1.000981354</v>
      </c>
      <c r="O71" s="57">
        <f t="shared" si="77"/>
        <v>1.000440723</v>
      </c>
      <c r="P71" s="57">
        <f t="shared" si="77"/>
        <v>1</v>
      </c>
    </row>
    <row r="72" ht="12.75" customHeight="1">
      <c r="A72" s="53">
        <v>71.0</v>
      </c>
      <c r="B72" s="54">
        <v>510.5</v>
      </c>
      <c r="C72" s="55">
        <v>4542.0</v>
      </c>
      <c r="D72" s="56">
        <v>400000.0</v>
      </c>
      <c r="E72" s="8"/>
      <c r="F72" s="8"/>
      <c r="G72" s="55">
        <f>G71+2</f>
        <v>2552</v>
      </c>
      <c r="H72" s="20">
        <v>5.0</v>
      </c>
      <c r="I72" s="51">
        <v>510.4</v>
      </c>
      <c r="J72" s="14"/>
      <c r="N72" s="57">
        <f t="shared" ref="N72:P72" si="78">B72/B71</f>
        <v>1.000980392</v>
      </c>
      <c r="O72" s="57">
        <f t="shared" si="78"/>
        <v>1.000440529</v>
      </c>
      <c r="P72" s="57">
        <f t="shared" si="78"/>
        <v>1</v>
      </c>
    </row>
    <row r="73" ht="12.75" customHeight="1">
      <c r="A73" s="53">
        <v>72.0</v>
      </c>
      <c r="B73" s="54">
        <v>511.0</v>
      </c>
      <c r="C73" s="55">
        <v>4544.0</v>
      </c>
      <c r="D73" s="56">
        <v>400000.0</v>
      </c>
      <c r="E73" s="8"/>
      <c r="F73" s="8"/>
      <c r="G73" s="55">
        <f>G72+3</f>
        <v>2555</v>
      </c>
      <c r="H73" s="20">
        <v>5.0</v>
      </c>
      <c r="I73" s="51">
        <v>511.0</v>
      </c>
      <c r="J73" s="14"/>
      <c r="N73" s="57">
        <f t="shared" ref="N73:P73" si="79">B73/B72</f>
        <v>1.000979432</v>
      </c>
      <c r="O73" s="57">
        <f t="shared" si="79"/>
        <v>1.000440335</v>
      </c>
      <c r="P73" s="57">
        <f t="shared" si="79"/>
        <v>1</v>
      </c>
    </row>
    <row r="74" ht="12.75" customHeight="1">
      <c r="A74" s="53">
        <v>73.0</v>
      </c>
      <c r="B74" s="54">
        <v>511.5</v>
      </c>
      <c r="C74" s="55">
        <v>4546.0</v>
      </c>
      <c r="D74" s="56">
        <v>400000.0</v>
      </c>
      <c r="E74" s="8"/>
      <c r="F74" s="8"/>
      <c r="G74" s="55">
        <f>G73+2</f>
        <v>2557</v>
      </c>
      <c r="H74" s="20">
        <v>5.0</v>
      </c>
      <c r="I74" s="51">
        <v>511.4</v>
      </c>
      <c r="J74" s="14"/>
      <c r="N74" s="57">
        <f t="shared" ref="N74:P74" si="80">B74/B73</f>
        <v>1.000978474</v>
      </c>
      <c r="O74" s="57">
        <f t="shared" si="80"/>
        <v>1.000440141</v>
      </c>
      <c r="P74" s="57">
        <f t="shared" si="80"/>
        <v>1</v>
      </c>
    </row>
    <row r="75" ht="12.75" customHeight="1">
      <c r="A75" s="53">
        <v>74.0</v>
      </c>
      <c r="B75" s="54">
        <v>512.0</v>
      </c>
      <c r="C75" s="55">
        <v>4548.0</v>
      </c>
      <c r="D75" s="56">
        <v>400000.0</v>
      </c>
      <c r="E75" s="8"/>
      <c r="F75" s="8"/>
      <c r="G75" s="55">
        <f>G74+3</f>
        <v>2560</v>
      </c>
      <c r="H75" s="20">
        <v>5.0</v>
      </c>
      <c r="I75" s="51">
        <v>512.0</v>
      </c>
      <c r="J75" s="14"/>
      <c r="N75" s="57">
        <f t="shared" ref="N75:P75" si="81">B75/B74</f>
        <v>1.000977517</v>
      </c>
      <c r="O75" s="57">
        <f t="shared" si="81"/>
        <v>1.000439947</v>
      </c>
      <c r="P75" s="57">
        <f t="shared" si="81"/>
        <v>1</v>
      </c>
    </row>
    <row r="76" ht="12.75" customHeight="1">
      <c r="A76" s="53">
        <v>75.0</v>
      </c>
      <c r="B76" s="54">
        <v>512.5</v>
      </c>
      <c r="C76" s="55">
        <v>4550.0</v>
      </c>
      <c r="D76" s="56">
        <v>400000.0</v>
      </c>
      <c r="E76" s="8"/>
      <c r="F76" s="8"/>
      <c r="G76" s="55">
        <f>G75+2</f>
        <v>2562</v>
      </c>
      <c r="H76" s="20">
        <v>5.0</v>
      </c>
      <c r="I76" s="51">
        <v>512.4</v>
      </c>
      <c r="J76" s="14"/>
      <c r="N76" s="57">
        <f t="shared" ref="N76:P76" si="82">B76/B75</f>
        <v>1.000976563</v>
      </c>
      <c r="O76" s="57">
        <f t="shared" si="82"/>
        <v>1.000439754</v>
      </c>
      <c r="P76" s="57">
        <f t="shared" si="82"/>
        <v>1</v>
      </c>
    </row>
    <row r="77" ht="12.75" customHeight="1">
      <c r="A77" s="53">
        <v>76.0</v>
      </c>
      <c r="B77" s="54">
        <v>513.0</v>
      </c>
      <c r="C77" s="55">
        <v>4552.0</v>
      </c>
      <c r="D77" s="56">
        <v>400000.0</v>
      </c>
      <c r="E77" s="8"/>
      <c r="F77" s="8"/>
      <c r="G77" s="55">
        <f>G76+3</f>
        <v>2565</v>
      </c>
      <c r="H77" s="20">
        <v>5.0</v>
      </c>
      <c r="I77" s="51">
        <v>513.0</v>
      </c>
      <c r="J77" s="14"/>
      <c r="N77" s="57">
        <f t="shared" ref="N77:P77" si="83">B77/B76</f>
        <v>1.00097561</v>
      </c>
      <c r="O77" s="57">
        <f t="shared" si="83"/>
        <v>1.00043956</v>
      </c>
      <c r="P77" s="57">
        <f t="shared" si="83"/>
        <v>1</v>
      </c>
    </row>
    <row r="78" ht="12.75" customHeight="1">
      <c r="A78" s="53">
        <v>77.0</v>
      </c>
      <c r="B78" s="54">
        <v>513.5</v>
      </c>
      <c r="C78" s="55">
        <v>4554.0</v>
      </c>
      <c r="D78" s="56">
        <v>400000.0</v>
      </c>
      <c r="E78" s="8"/>
      <c r="F78" s="8"/>
      <c r="G78" s="55">
        <f>G77+2</f>
        <v>2567</v>
      </c>
      <c r="H78" s="20">
        <v>5.0</v>
      </c>
      <c r="I78" s="51">
        <v>513.4</v>
      </c>
      <c r="J78" s="14"/>
      <c r="N78" s="57">
        <f t="shared" ref="N78:P78" si="84">B78/B77</f>
        <v>1.000974659</v>
      </c>
      <c r="O78" s="57">
        <f t="shared" si="84"/>
        <v>1.000439367</v>
      </c>
      <c r="P78" s="57">
        <f t="shared" si="84"/>
        <v>1</v>
      </c>
    </row>
    <row r="79" ht="12.75" customHeight="1">
      <c r="A79" s="53">
        <v>78.0</v>
      </c>
      <c r="B79" s="54">
        <v>514.0</v>
      </c>
      <c r="C79" s="55">
        <v>4556.0</v>
      </c>
      <c r="D79" s="56">
        <v>400000.0</v>
      </c>
      <c r="E79" s="8"/>
      <c r="F79" s="8"/>
      <c r="G79" s="55">
        <f>G78+3</f>
        <v>2570</v>
      </c>
      <c r="H79" s="20">
        <v>5.0</v>
      </c>
      <c r="I79" s="51">
        <v>514.0</v>
      </c>
      <c r="J79" s="14"/>
      <c r="N79" s="57">
        <f t="shared" ref="N79:P79" si="85">B79/B78</f>
        <v>1.00097371</v>
      </c>
      <c r="O79" s="57">
        <f t="shared" si="85"/>
        <v>1.000439174</v>
      </c>
      <c r="P79" s="57">
        <f t="shared" si="85"/>
        <v>1</v>
      </c>
    </row>
    <row r="80" ht="12.75" customHeight="1">
      <c r="A80" s="53">
        <v>79.0</v>
      </c>
      <c r="B80" s="54">
        <v>514.5</v>
      </c>
      <c r="C80" s="55">
        <v>4558.0</v>
      </c>
      <c r="D80" s="56">
        <v>400000.0</v>
      </c>
      <c r="E80" s="8"/>
      <c r="F80" s="8"/>
      <c r="G80" s="55">
        <f>G79+2</f>
        <v>2572</v>
      </c>
      <c r="H80" s="20">
        <v>5.0</v>
      </c>
      <c r="I80" s="51">
        <v>514.4</v>
      </c>
      <c r="J80" s="14"/>
      <c r="N80" s="57">
        <f t="shared" ref="N80:P80" si="86">B80/B79</f>
        <v>1.000972763</v>
      </c>
      <c r="O80" s="57">
        <f t="shared" si="86"/>
        <v>1.000438982</v>
      </c>
      <c r="P80" s="57">
        <f t="shared" si="86"/>
        <v>1</v>
      </c>
    </row>
    <row r="81" ht="12.75" customHeight="1">
      <c r="A81" s="53">
        <v>80.0</v>
      </c>
      <c r="B81" s="54">
        <v>515.0</v>
      </c>
      <c r="C81" s="55">
        <v>4560.0</v>
      </c>
      <c r="D81" s="56">
        <v>400000.0</v>
      </c>
      <c r="E81" s="8"/>
      <c r="F81" s="8"/>
      <c r="G81" s="55">
        <f>G80+3</f>
        <v>2575</v>
      </c>
      <c r="H81" s="20">
        <v>5.0</v>
      </c>
      <c r="I81" s="51">
        <v>515.0</v>
      </c>
      <c r="J81" s="14"/>
      <c r="N81" s="57">
        <f t="shared" ref="N81:P81" si="87">B81/B80</f>
        <v>1.000971817</v>
      </c>
      <c r="O81" s="57">
        <f t="shared" si="87"/>
        <v>1.000438789</v>
      </c>
      <c r="P81" s="57">
        <f t="shared" si="87"/>
        <v>1</v>
      </c>
    </row>
    <row r="82" ht="12.75" customHeight="1">
      <c r="A82" s="53">
        <v>81.0</v>
      </c>
      <c r="B82" s="54">
        <v>515.5</v>
      </c>
      <c r="C82" s="55">
        <v>4562.0</v>
      </c>
      <c r="D82" s="56">
        <v>400000.0</v>
      </c>
      <c r="E82" s="8"/>
      <c r="F82" s="8"/>
      <c r="G82" s="55">
        <f>G81+2</f>
        <v>2577</v>
      </c>
      <c r="H82" s="20">
        <v>5.0</v>
      </c>
      <c r="I82" s="51">
        <v>515.6</v>
      </c>
      <c r="J82" s="14"/>
      <c r="N82" s="57">
        <f t="shared" ref="N82:P82" si="88">B82/B81</f>
        <v>1.000970874</v>
      </c>
      <c r="O82" s="57">
        <f t="shared" si="88"/>
        <v>1.000438596</v>
      </c>
      <c r="P82" s="57">
        <f t="shared" si="88"/>
        <v>1</v>
      </c>
    </row>
    <row r="83" ht="12.75" customHeight="1">
      <c r="A83" s="53">
        <v>82.0</v>
      </c>
      <c r="B83" s="54">
        <v>516.0</v>
      </c>
      <c r="C83" s="55">
        <v>4564.0</v>
      </c>
      <c r="D83" s="56">
        <v>400000.0</v>
      </c>
      <c r="E83" s="8"/>
      <c r="F83" s="8"/>
      <c r="G83" s="55">
        <f>G82+3</f>
        <v>2580</v>
      </c>
      <c r="H83" s="20">
        <v>5.0</v>
      </c>
      <c r="I83" s="51">
        <v>516.2</v>
      </c>
      <c r="J83" s="14"/>
      <c r="N83" s="57">
        <f t="shared" ref="N83:P83" si="89">B83/B82</f>
        <v>1.000969932</v>
      </c>
      <c r="O83" s="57">
        <f t="shared" si="89"/>
        <v>1.000438404</v>
      </c>
      <c r="P83" s="57">
        <f t="shared" si="89"/>
        <v>1</v>
      </c>
    </row>
    <row r="84" ht="12.75" customHeight="1">
      <c r="A84" s="53">
        <v>83.0</v>
      </c>
      <c r="B84" s="54">
        <v>516.5</v>
      </c>
      <c r="C84" s="55">
        <v>4566.0</v>
      </c>
      <c r="D84" s="56">
        <v>400000.0</v>
      </c>
      <c r="E84" s="8"/>
      <c r="F84" s="8"/>
      <c r="G84" s="55">
        <f>G83+2</f>
        <v>2582</v>
      </c>
      <c r="H84" s="20">
        <v>5.0</v>
      </c>
      <c r="I84" s="51">
        <v>516.8</v>
      </c>
      <c r="J84" s="14"/>
      <c r="N84" s="57">
        <f t="shared" ref="N84:P84" si="90">B84/B83</f>
        <v>1.000968992</v>
      </c>
      <c r="O84" s="57">
        <f t="shared" si="90"/>
        <v>1.000438212</v>
      </c>
      <c r="P84" s="57">
        <f t="shared" si="90"/>
        <v>1</v>
      </c>
    </row>
    <row r="85" ht="12.75" customHeight="1">
      <c r="A85" s="53">
        <v>84.0</v>
      </c>
      <c r="B85" s="54">
        <v>517.0</v>
      </c>
      <c r="C85" s="55">
        <v>4568.0</v>
      </c>
      <c r="D85" s="56">
        <v>400000.0</v>
      </c>
      <c r="E85" s="8"/>
      <c r="F85" s="8"/>
      <c r="G85" s="55">
        <f>G84+3</f>
        <v>2585</v>
      </c>
      <c r="H85" s="20">
        <v>5.0</v>
      </c>
      <c r="I85" s="51">
        <v>517.4</v>
      </c>
      <c r="J85" s="14"/>
      <c r="N85" s="57">
        <f t="shared" ref="N85:P85" si="91">B85/B84</f>
        <v>1.000968054</v>
      </c>
      <c r="O85" s="57">
        <f t="shared" si="91"/>
        <v>1.00043802</v>
      </c>
      <c r="P85" s="57">
        <f t="shared" si="91"/>
        <v>1</v>
      </c>
    </row>
    <row r="86" ht="12.75" customHeight="1">
      <c r="A86" s="53">
        <v>85.0</v>
      </c>
      <c r="B86" s="54">
        <v>517.5</v>
      </c>
      <c r="C86" s="55">
        <v>4570.0</v>
      </c>
      <c r="D86" s="56">
        <v>400000.0</v>
      </c>
      <c r="E86" s="8"/>
      <c r="F86" s="8"/>
      <c r="G86" s="55">
        <f>G85+2</f>
        <v>2587</v>
      </c>
      <c r="H86" s="20">
        <v>5.0</v>
      </c>
      <c r="I86" s="51">
        <v>517.999999999999</v>
      </c>
      <c r="J86" s="14"/>
      <c r="N86" s="57">
        <f t="shared" ref="N86:P86" si="92">B86/B85</f>
        <v>1.000967118</v>
      </c>
      <c r="O86" s="57">
        <f t="shared" si="92"/>
        <v>1.000437828</v>
      </c>
      <c r="P86" s="57">
        <f t="shared" si="92"/>
        <v>1</v>
      </c>
    </row>
    <row r="87" ht="12.75" customHeight="1">
      <c r="A87" s="53">
        <v>86.0</v>
      </c>
      <c r="B87" s="54">
        <v>518.0</v>
      </c>
      <c r="C87" s="55">
        <v>4572.0</v>
      </c>
      <c r="D87" s="56">
        <v>400000.0</v>
      </c>
      <c r="E87" s="8"/>
      <c r="F87" s="8"/>
      <c r="G87" s="55">
        <f>G86+3</f>
        <v>2590</v>
      </c>
      <c r="H87" s="20">
        <v>5.0</v>
      </c>
      <c r="I87" s="51">
        <v>518.599999999999</v>
      </c>
      <c r="J87" s="14"/>
      <c r="N87" s="57">
        <f t="shared" ref="N87:P87" si="93">B87/B86</f>
        <v>1.000966184</v>
      </c>
      <c r="O87" s="57">
        <f t="shared" si="93"/>
        <v>1.000437637</v>
      </c>
      <c r="P87" s="57">
        <f t="shared" si="93"/>
        <v>1</v>
      </c>
    </row>
    <row r="88" ht="12.75" customHeight="1">
      <c r="A88" s="53">
        <v>87.0</v>
      </c>
      <c r="B88" s="54">
        <v>518.5</v>
      </c>
      <c r="C88" s="55">
        <v>4574.0</v>
      </c>
      <c r="D88" s="56">
        <v>400000.0</v>
      </c>
      <c r="E88" s="8"/>
      <c r="F88" s="8"/>
      <c r="G88" s="55">
        <f>G87+2</f>
        <v>2592</v>
      </c>
      <c r="H88" s="20">
        <v>5.0</v>
      </c>
      <c r="I88" s="51">
        <v>519.199999999999</v>
      </c>
      <c r="J88" s="14"/>
      <c r="N88" s="57">
        <f t="shared" ref="N88:P88" si="94">B88/B87</f>
        <v>1.000965251</v>
      </c>
      <c r="O88" s="57">
        <f t="shared" si="94"/>
        <v>1.000437445</v>
      </c>
      <c r="P88" s="57">
        <f t="shared" si="94"/>
        <v>1</v>
      </c>
    </row>
    <row r="89" ht="12.75" customHeight="1">
      <c r="A89" s="53">
        <v>88.0</v>
      </c>
      <c r="B89" s="54">
        <v>519.0</v>
      </c>
      <c r="C89" s="55">
        <v>4576.0</v>
      </c>
      <c r="D89" s="56">
        <v>400000.0</v>
      </c>
      <c r="E89" s="8"/>
      <c r="F89" s="8"/>
      <c r="G89" s="55">
        <f>G88+3</f>
        <v>2595</v>
      </c>
      <c r="H89" s="20">
        <v>5.0</v>
      </c>
      <c r="I89" s="51">
        <v>519.799999999999</v>
      </c>
      <c r="J89" s="14"/>
      <c r="N89" s="57">
        <f t="shared" ref="N89:P89" si="95">B89/B88</f>
        <v>1.00096432</v>
      </c>
      <c r="O89" s="57">
        <f t="shared" si="95"/>
        <v>1.000437254</v>
      </c>
      <c r="P89" s="57">
        <f t="shared" si="95"/>
        <v>1</v>
      </c>
    </row>
    <row r="90" ht="12.75" customHeight="1">
      <c r="A90" s="53">
        <v>89.0</v>
      </c>
      <c r="B90" s="54">
        <v>519.5</v>
      </c>
      <c r="C90" s="55">
        <v>4578.0</v>
      </c>
      <c r="D90" s="56">
        <v>400000.0</v>
      </c>
      <c r="E90" s="8"/>
      <c r="F90" s="8"/>
      <c r="G90" s="55">
        <f>G89+2</f>
        <v>2597</v>
      </c>
      <c r="H90" s="20">
        <v>5.0</v>
      </c>
      <c r="I90" s="51">
        <v>520.399999999999</v>
      </c>
      <c r="J90" s="14"/>
      <c r="N90" s="57">
        <f t="shared" ref="N90:P90" si="96">B90/B89</f>
        <v>1.000963391</v>
      </c>
      <c r="O90" s="57">
        <f t="shared" si="96"/>
        <v>1.000437063</v>
      </c>
      <c r="P90" s="57">
        <f t="shared" si="96"/>
        <v>1</v>
      </c>
    </row>
    <row r="91" ht="12.75" customHeight="1">
      <c r="A91" s="53">
        <v>90.0</v>
      </c>
      <c r="B91" s="54">
        <v>520.0</v>
      </c>
      <c r="C91" s="55">
        <v>4580.0</v>
      </c>
      <c r="D91" s="56">
        <v>400000.0</v>
      </c>
      <c r="E91" s="8"/>
      <c r="F91" s="8"/>
      <c r="G91" s="55">
        <f>G90+3</f>
        <v>2600</v>
      </c>
      <c r="H91" s="20">
        <v>5.0</v>
      </c>
      <c r="I91" s="51">
        <v>520.999999999999</v>
      </c>
      <c r="J91" s="14"/>
      <c r="N91" s="57">
        <f t="shared" ref="N91:P91" si="97">B91/B90</f>
        <v>1.000962464</v>
      </c>
      <c r="O91" s="57">
        <f t="shared" si="97"/>
        <v>1.000436872</v>
      </c>
      <c r="P91" s="57">
        <f t="shared" si="97"/>
        <v>1</v>
      </c>
    </row>
    <row r="92" ht="12.75" customHeight="1">
      <c r="A92" s="53">
        <v>91.0</v>
      </c>
      <c r="B92" s="54">
        <v>520.5</v>
      </c>
      <c r="C92" s="55">
        <v>4582.0</v>
      </c>
      <c r="D92" s="56">
        <v>400000.0</v>
      </c>
      <c r="E92" s="8"/>
      <c r="F92" s="8"/>
      <c r="G92" s="55">
        <f>G91+2</f>
        <v>2602</v>
      </c>
      <c r="H92" s="20">
        <v>5.0</v>
      </c>
      <c r="I92" s="51">
        <v>521.599999999999</v>
      </c>
      <c r="J92" s="14"/>
      <c r="N92" s="57">
        <f t="shared" ref="N92:P92" si="98">B92/B91</f>
        <v>1.000961538</v>
      </c>
      <c r="O92" s="57">
        <f t="shared" si="98"/>
        <v>1.000436681</v>
      </c>
      <c r="P92" s="57">
        <f t="shared" si="98"/>
        <v>1</v>
      </c>
    </row>
    <row r="93" ht="12.75" customHeight="1">
      <c r="A93" s="53">
        <v>92.0</v>
      </c>
      <c r="B93" s="54">
        <v>521.0</v>
      </c>
      <c r="C93" s="55">
        <v>4584.0</v>
      </c>
      <c r="D93" s="56">
        <v>400000.0</v>
      </c>
      <c r="E93" s="8"/>
      <c r="F93" s="8"/>
      <c r="G93" s="55">
        <f>G92+3</f>
        <v>2605</v>
      </c>
      <c r="H93" s="20">
        <v>5.0</v>
      </c>
      <c r="I93" s="51">
        <v>522.199999999999</v>
      </c>
      <c r="J93" s="14"/>
      <c r="N93" s="57">
        <f t="shared" ref="N93:P93" si="99">B93/B92</f>
        <v>1.000960615</v>
      </c>
      <c r="O93" s="57">
        <f t="shared" si="99"/>
        <v>1.000436491</v>
      </c>
      <c r="P93" s="57">
        <f t="shared" si="99"/>
        <v>1</v>
      </c>
    </row>
    <row r="94" ht="12.75" customHeight="1">
      <c r="A94" s="53">
        <v>93.0</v>
      </c>
      <c r="B94" s="54">
        <v>521.5</v>
      </c>
      <c r="C94" s="55">
        <v>4586.0</v>
      </c>
      <c r="D94" s="56">
        <v>400000.0</v>
      </c>
      <c r="E94" s="8"/>
      <c r="F94" s="8"/>
      <c r="G94" s="55">
        <f>G93+2</f>
        <v>2607</v>
      </c>
      <c r="H94" s="20">
        <v>5.0</v>
      </c>
      <c r="I94" s="51">
        <v>522.799999999999</v>
      </c>
      <c r="J94" s="14"/>
      <c r="N94" s="57">
        <f t="shared" ref="N94:P94" si="100">B94/B93</f>
        <v>1.000959693</v>
      </c>
      <c r="O94" s="57">
        <f t="shared" si="100"/>
        <v>1.0004363</v>
      </c>
      <c r="P94" s="57">
        <f t="shared" si="100"/>
        <v>1</v>
      </c>
    </row>
    <row r="95" ht="12.75" customHeight="1">
      <c r="A95" s="53">
        <v>94.0</v>
      </c>
      <c r="B95" s="54">
        <v>522.0</v>
      </c>
      <c r="C95" s="55">
        <v>4588.0</v>
      </c>
      <c r="D95" s="56">
        <v>400000.0</v>
      </c>
      <c r="E95" s="8"/>
      <c r="F95" s="8"/>
      <c r="G95" s="55">
        <f>G94+3</f>
        <v>2610</v>
      </c>
      <c r="H95" s="20">
        <v>5.0</v>
      </c>
      <c r="I95" s="51">
        <v>523.399999999999</v>
      </c>
      <c r="J95" s="14"/>
      <c r="N95" s="57">
        <f t="shared" ref="N95:P95" si="101">B95/B94</f>
        <v>1.000958773</v>
      </c>
      <c r="O95" s="57">
        <f t="shared" si="101"/>
        <v>1.00043611</v>
      </c>
      <c r="P95" s="57">
        <f t="shared" si="101"/>
        <v>1</v>
      </c>
    </row>
    <row r="96" ht="12.75" customHeight="1">
      <c r="A96" s="53">
        <v>95.0</v>
      </c>
      <c r="B96" s="54">
        <v>522.5</v>
      </c>
      <c r="C96" s="55">
        <v>4590.0</v>
      </c>
      <c r="D96" s="56">
        <v>400000.0</v>
      </c>
      <c r="E96" s="8"/>
      <c r="F96" s="8"/>
      <c r="G96" s="55">
        <f>G95+2</f>
        <v>2612</v>
      </c>
      <c r="H96" s="20">
        <v>5.0</v>
      </c>
      <c r="I96" s="51">
        <v>523.999999999999</v>
      </c>
      <c r="J96" s="14"/>
      <c r="N96" s="57">
        <f t="shared" ref="N96:P96" si="102">B96/B95</f>
        <v>1.000957854</v>
      </c>
      <c r="O96" s="57">
        <f t="shared" si="102"/>
        <v>1.00043592</v>
      </c>
      <c r="P96" s="57">
        <f t="shared" si="102"/>
        <v>1</v>
      </c>
    </row>
    <row r="97" ht="12.75" customHeight="1">
      <c r="A97" s="53">
        <v>96.0</v>
      </c>
      <c r="B97" s="54">
        <v>523.0</v>
      </c>
      <c r="C97" s="55">
        <v>4592.0</v>
      </c>
      <c r="D97" s="56">
        <v>400000.0</v>
      </c>
      <c r="E97" s="8"/>
      <c r="F97" s="8"/>
      <c r="G97" s="55">
        <f>G96+3</f>
        <v>2615</v>
      </c>
      <c r="H97" s="20">
        <v>5.0</v>
      </c>
      <c r="I97" s="51">
        <v>524.599999999998</v>
      </c>
      <c r="J97" s="14"/>
      <c r="N97" s="57">
        <f t="shared" ref="N97:P97" si="103">B97/B96</f>
        <v>1.000956938</v>
      </c>
      <c r="O97" s="57">
        <f t="shared" si="103"/>
        <v>1.00043573</v>
      </c>
      <c r="P97" s="57">
        <f t="shared" si="103"/>
        <v>1</v>
      </c>
    </row>
    <row r="98" ht="12.75" customHeight="1">
      <c r="A98" s="53">
        <v>97.0</v>
      </c>
      <c r="B98" s="54">
        <v>523.5</v>
      </c>
      <c r="C98" s="55">
        <v>4594.0</v>
      </c>
      <c r="D98" s="56">
        <v>400000.0</v>
      </c>
      <c r="E98" s="8"/>
      <c r="F98" s="8"/>
      <c r="G98" s="55">
        <f>G97+2</f>
        <v>2617</v>
      </c>
      <c r="H98" s="20">
        <v>5.0</v>
      </c>
      <c r="I98" s="51">
        <v>525.199999999997</v>
      </c>
      <c r="J98" s="14"/>
      <c r="N98" s="57">
        <f t="shared" ref="N98:P98" si="104">B98/B97</f>
        <v>1.000956023</v>
      </c>
      <c r="O98" s="57">
        <f t="shared" si="104"/>
        <v>1.00043554</v>
      </c>
      <c r="P98" s="57">
        <f t="shared" si="104"/>
        <v>1</v>
      </c>
    </row>
    <row r="99" ht="12.75" customHeight="1">
      <c r="A99" s="53">
        <v>98.0</v>
      </c>
      <c r="B99" s="54">
        <v>524.0</v>
      </c>
      <c r="C99" s="55">
        <v>4596.0</v>
      </c>
      <c r="D99" s="56">
        <v>400000.0</v>
      </c>
      <c r="E99" s="8"/>
      <c r="F99" s="8"/>
      <c r="G99" s="55">
        <f>G98+3</f>
        <v>2620</v>
      </c>
      <c r="H99" s="20">
        <v>5.0</v>
      </c>
      <c r="I99" s="51">
        <v>525.799999999996</v>
      </c>
      <c r="J99" s="14"/>
      <c r="N99" s="57">
        <f t="shared" ref="N99:P99" si="105">B99/B98</f>
        <v>1.00095511</v>
      </c>
      <c r="O99" s="57">
        <f t="shared" si="105"/>
        <v>1.00043535</v>
      </c>
      <c r="P99" s="57">
        <f t="shared" si="105"/>
        <v>1</v>
      </c>
    </row>
    <row r="100" ht="12.75" customHeight="1">
      <c r="A100" s="53">
        <v>99.0</v>
      </c>
      <c r="B100" s="54">
        <v>524.5</v>
      </c>
      <c r="C100" s="55">
        <v>4598.0</v>
      </c>
      <c r="D100" s="56">
        <v>400000.0</v>
      </c>
      <c r="E100" s="8"/>
      <c r="F100" s="8"/>
      <c r="G100" s="55">
        <f>G99+2</f>
        <v>2622</v>
      </c>
      <c r="H100" s="20">
        <v>5.0</v>
      </c>
      <c r="I100" s="51">
        <v>526.399999999995</v>
      </c>
      <c r="J100" s="14"/>
      <c r="N100" s="57">
        <f t="shared" ref="N100:P100" si="106">B100/B99</f>
        <v>1.000954198</v>
      </c>
      <c r="O100" s="57">
        <f t="shared" si="106"/>
        <v>1.000435161</v>
      </c>
      <c r="P100" s="57">
        <f t="shared" si="106"/>
        <v>1</v>
      </c>
    </row>
    <row r="101" ht="12.75" customHeight="1">
      <c r="A101" s="53">
        <v>100.0</v>
      </c>
      <c r="B101" s="54">
        <v>525.0</v>
      </c>
      <c r="C101" s="55">
        <v>4600.0</v>
      </c>
      <c r="D101" s="56">
        <v>400000.0</v>
      </c>
      <c r="E101" s="8"/>
      <c r="F101" s="8"/>
      <c r="G101" s="55">
        <f>G100+3</f>
        <v>2625</v>
      </c>
      <c r="H101" s="20">
        <v>5.0</v>
      </c>
      <c r="I101" s="51">
        <v>526.999999999994</v>
      </c>
      <c r="J101" s="14"/>
      <c r="N101" s="57">
        <f t="shared" ref="N101:P101" si="107">B101/B100</f>
        <v>1.000953289</v>
      </c>
      <c r="O101" s="57">
        <f t="shared" si="107"/>
        <v>1.000434972</v>
      </c>
      <c r="P101" s="57">
        <f t="shared" si="107"/>
        <v>1</v>
      </c>
    </row>
    <row r="102" ht="12.75" customHeight="1">
      <c r="A102" s="8"/>
      <c r="B102" s="74"/>
      <c r="C102" s="8"/>
      <c r="D102" s="14"/>
      <c r="E102" s="8"/>
      <c r="F102" s="8"/>
      <c r="G102" s="8"/>
      <c r="H102" s="8"/>
      <c r="I102" s="8"/>
      <c r="J102" s="14"/>
    </row>
    <row r="103" ht="12.75" customHeight="1">
      <c r="A103" s="8"/>
      <c r="B103" s="74"/>
      <c r="C103" s="8"/>
      <c r="D103" s="14"/>
      <c r="E103" s="8"/>
      <c r="F103" s="8"/>
      <c r="G103" s="8"/>
      <c r="H103" s="8"/>
      <c r="I103" s="8"/>
      <c r="J103" s="14"/>
    </row>
    <row r="104" ht="12.75" customHeight="1">
      <c r="A104" s="8"/>
      <c r="B104" s="74"/>
      <c r="C104" s="8"/>
      <c r="D104" s="14"/>
      <c r="E104" s="8"/>
      <c r="F104" s="8"/>
      <c r="G104" s="8"/>
      <c r="H104" s="8"/>
      <c r="I104" s="8"/>
      <c r="J104" s="14"/>
    </row>
    <row r="105" ht="12.75" customHeight="1">
      <c r="A105" s="8"/>
      <c r="B105" s="74"/>
      <c r="C105" s="8"/>
      <c r="D105" s="14"/>
      <c r="E105" s="8"/>
      <c r="F105" s="8"/>
      <c r="G105" s="8"/>
      <c r="H105" s="8"/>
      <c r="I105" s="8"/>
      <c r="J105" s="14"/>
    </row>
    <row r="106" ht="12.75" customHeight="1">
      <c r="A106" s="8"/>
      <c r="B106" s="74"/>
      <c r="C106" s="8"/>
      <c r="D106" s="14"/>
      <c r="E106" s="8"/>
      <c r="F106" s="8"/>
      <c r="G106" s="8"/>
      <c r="H106" s="8"/>
      <c r="I106" s="8"/>
      <c r="J106" s="14"/>
    </row>
    <row r="107" ht="12.75" customHeight="1">
      <c r="A107" s="8"/>
      <c r="B107" s="74"/>
      <c r="C107" s="8"/>
      <c r="D107" s="14"/>
      <c r="E107" s="8"/>
      <c r="F107" s="8"/>
      <c r="G107" s="8"/>
      <c r="H107" s="8"/>
      <c r="I107" s="8"/>
      <c r="J107" s="14"/>
    </row>
    <row r="108" ht="12.75" customHeight="1">
      <c r="A108" s="8"/>
      <c r="B108" s="74"/>
      <c r="C108" s="8"/>
      <c r="D108" s="14"/>
      <c r="E108" s="8"/>
      <c r="F108" s="8"/>
      <c r="G108" s="8"/>
      <c r="H108" s="8"/>
      <c r="I108" s="8"/>
      <c r="J108" s="14"/>
    </row>
    <row r="109" ht="12.75" customHeight="1">
      <c r="A109" s="8"/>
      <c r="B109" s="74"/>
      <c r="C109" s="8"/>
      <c r="D109" s="14"/>
      <c r="E109" s="8"/>
      <c r="F109" s="8"/>
      <c r="G109" s="8"/>
      <c r="H109" s="8"/>
      <c r="I109" s="8"/>
      <c r="J109" s="14"/>
    </row>
    <row r="110" ht="12.75" customHeight="1">
      <c r="A110" s="8"/>
      <c r="B110" s="74"/>
      <c r="C110" s="8"/>
      <c r="D110" s="14"/>
      <c r="E110" s="8"/>
      <c r="F110" s="8"/>
      <c r="G110" s="8"/>
      <c r="H110" s="8"/>
      <c r="I110" s="8"/>
      <c r="J110" s="14"/>
    </row>
    <row r="111" ht="12.75" customHeight="1">
      <c r="A111" s="8"/>
      <c r="B111" s="74"/>
      <c r="C111" s="8"/>
      <c r="D111" s="14"/>
      <c r="E111" s="8"/>
      <c r="F111" s="8"/>
      <c r="G111" s="8"/>
      <c r="H111" s="8"/>
      <c r="I111" s="8"/>
      <c r="J111" s="14"/>
    </row>
    <row r="112" ht="12.75" customHeight="1">
      <c r="A112" s="8"/>
      <c r="B112" s="74"/>
      <c r="C112" s="8"/>
      <c r="D112" s="14"/>
      <c r="E112" s="8"/>
      <c r="F112" s="8"/>
      <c r="G112" s="8"/>
      <c r="H112" s="8"/>
      <c r="I112" s="8"/>
      <c r="J112" s="14"/>
    </row>
    <row r="113" ht="12.75" customHeight="1">
      <c r="A113" s="8"/>
      <c r="B113" s="74"/>
      <c r="C113" s="8"/>
      <c r="D113" s="14"/>
      <c r="E113" s="8"/>
      <c r="F113" s="8"/>
      <c r="G113" s="8"/>
      <c r="H113" s="8"/>
      <c r="I113" s="8"/>
      <c r="J113" s="14"/>
    </row>
    <row r="114" ht="12.75" customHeight="1">
      <c r="A114" s="8"/>
      <c r="B114" s="74"/>
      <c r="C114" s="8"/>
      <c r="D114" s="14"/>
      <c r="E114" s="8"/>
      <c r="F114" s="8"/>
      <c r="G114" s="8"/>
      <c r="H114" s="8"/>
      <c r="I114" s="8"/>
      <c r="J114" s="14"/>
    </row>
    <row r="115" ht="12.75" customHeight="1">
      <c r="A115" s="8"/>
      <c r="B115" s="74"/>
      <c r="C115" s="8"/>
      <c r="D115" s="14"/>
      <c r="E115" s="8"/>
      <c r="F115" s="8"/>
      <c r="G115" s="8"/>
      <c r="H115" s="8"/>
      <c r="I115" s="8"/>
      <c r="J115" s="14"/>
    </row>
    <row r="116" ht="12.75" customHeight="1">
      <c r="A116" s="8"/>
      <c r="B116" s="74"/>
      <c r="C116" s="8"/>
      <c r="D116" s="14"/>
      <c r="E116" s="8"/>
      <c r="F116" s="8"/>
      <c r="G116" s="8"/>
      <c r="H116" s="8"/>
      <c r="I116" s="8"/>
      <c r="J116" s="14"/>
    </row>
    <row r="117" ht="12.75" customHeight="1">
      <c r="A117" s="8"/>
      <c r="B117" s="74"/>
      <c r="C117" s="8"/>
      <c r="D117" s="14"/>
      <c r="E117" s="8"/>
      <c r="F117" s="8"/>
      <c r="G117" s="8"/>
      <c r="H117" s="8"/>
      <c r="I117" s="8"/>
      <c r="J117" s="14"/>
    </row>
    <row r="118" ht="12.75" customHeight="1">
      <c r="A118" s="8"/>
      <c r="B118" s="74"/>
      <c r="C118" s="8"/>
      <c r="D118" s="14"/>
      <c r="E118" s="8"/>
      <c r="F118" s="8"/>
      <c r="G118" s="8"/>
      <c r="H118" s="8"/>
      <c r="I118" s="8"/>
      <c r="J118" s="14"/>
    </row>
    <row r="119" ht="12.75" customHeight="1">
      <c r="A119" s="8"/>
      <c r="B119" s="74"/>
      <c r="C119" s="8"/>
      <c r="D119" s="14"/>
      <c r="E119" s="8"/>
      <c r="F119" s="8"/>
      <c r="G119" s="8"/>
      <c r="H119" s="8"/>
      <c r="I119" s="8"/>
      <c r="J119" s="14"/>
    </row>
    <row r="120" ht="12.75" customHeight="1">
      <c r="A120" s="8"/>
      <c r="B120" s="74"/>
      <c r="C120" s="8"/>
      <c r="D120" s="14"/>
      <c r="E120" s="8"/>
      <c r="F120" s="8"/>
      <c r="G120" s="8"/>
      <c r="H120" s="8"/>
      <c r="I120" s="8"/>
      <c r="J120" s="14"/>
    </row>
    <row r="121" ht="12.75" customHeight="1">
      <c r="A121" s="8"/>
      <c r="B121" s="74"/>
      <c r="C121" s="8"/>
      <c r="D121" s="14"/>
      <c r="E121" s="8"/>
      <c r="F121" s="8"/>
      <c r="G121" s="8"/>
      <c r="H121" s="8"/>
      <c r="I121" s="8"/>
      <c r="J121" s="14"/>
    </row>
    <row r="122" ht="12.75" customHeight="1">
      <c r="A122" s="8"/>
      <c r="B122" s="74"/>
      <c r="C122" s="8"/>
      <c r="D122" s="14"/>
      <c r="E122" s="8"/>
      <c r="F122" s="8"/>
      <c r="G122" s="8"/>
      <c r="H122" s="8"/>
      <c r="I122" s="8"/>
      <c r="J122" s="14"/>
    </row>
    <row r="123" ht="12.75" customHeight="1">
      <c r="A123" s="8"/>
      <c r="B123" s="74"/>
      <c r="C123" s="8"/>
      <c r="D123" s="14"/>
      <c r="E123" s="8"/>
      <c r="F123" s="8"/>
      <c r="G123" s="8"/>
      <c r="H123" s="8"/>
      <c r="I123" s="8"/>
      <c r="J123" s="14"/>
    </row>
    <row r="124" ht="12.75" customHeight="1">
      <c r="A124" s="8"/>
      <c r="B124" s="74"/>
      <c r="C124" s="8"/>
      <c r="D124" s="14"/>
      <c r="E124" s="8"/>
      <c r="F124" s="8"/>
      <c r="G124" s="8"/>
      <c r="H124" s="8"/>
      <c r="I124" s="8"/>
      <c r="J124" s="14"/>
    </row>
    <row r="125" ht="12.75" customHeight="1">
      <c r="A125" s="8"/>
      <c r="B125" s="74"/>
      <c r="C125" s="8"/>
      <c r="D125" s="14"/>
      <c r="E125" s="8"/>
      <c r="F125" s="8"/>
      <c r="G125" s="8"/>
      <c r="H125" s="8"/>
      <c r="I125" s="8"/>
      <c r="J125" s="14"/>
    </row>
    <row r="126" ht="12.75" customHeight="1">
      <c r="A126" s="8"/>
      <c r="B126" s="74"/>
      <c r="C126" s="8"/>
      <c r="D126" s="14"/>
      <c r="E126" s="8"/>
      <c r="F126" s="8"/>
      <c r="G126" s="8"/>
      <c r="H126" s="8"/>
      <c r="I126" s="8"/>
      <c r="J126" s="14"/>
    </row>
    <row r="127" ht="12.75" customHeight="1">
      <c r="A127" s="8"/>
      <c r="B127" s="74"/>
      <c r="C127" s="8"/>
      <c r="D127" s="14"/>
      <c r="E127" s="8"/>
      <c r="F127" s="8"/>
      <c r="G127" s="8"/>
      <c r="H127" s="8"/>
      <c r="I127" s="8"/>
      <c r="J127" s="14"/>
    </row>
    <row r="128" ht="12.75" customHeight="1">
      <c r="A128" s="8"/>
      <c r="B128" s="74"/>
      <c r="C128" s="8"/>
      <c r="D128" s="14"/>
      <c r="E128" s="8"/>
      <c r="F128" s="8"/>
      <c r="G128" s="8"/>
      <c r="H128" s="8"/>
      <c r="I128" s="8"/>
      <c r="J128" s="14"/>
    </row>
    <row r="129" ht="12.75" customHeight="1">
      <c r="A129" s="8"/>
      <c r="B129" s="74"/>
      <c r="C129" s="8"/>
      <c r="D129" s="14"/>
      <c r="E129" s="8"/>
      <c r="F129" s="8"/>
      <c r="G129" s="8"/>
      <c r="H129" s="8"/>
      <c r="I129" s="8"/>
      <c r="J129" s="14"/>
    </row>
    <row r="130" ht="12.75" customHeight="1">
      <c r="A130" s="8"/>
      <c r="B130" s="74"/>
      <c r="C130" s="8"/>
      <c r="D130" s="14"/>
      <c r="E130" s="8"/>
      <c r="F130" s="8"/>
      <c r="G130" s="8"/>
      <c r="H130" s="8"/>
      <c r="I130" s="8"/>
      <c r="J130" s="14"/>
    </row>
    <row r="131" ht="12.75" customHeight="1">
      <c r="A131" s="8"/>
      <c r="B131" s="74"/>
      <c r="C131" s="8"/>
      <c r="D131" s="14"/>
      <c r="E131" s="8"/>
      <c r="F131" s="8"/>
      <c r="G131" s="8"/>
      <c r="H131" s="8"/>
      <c r="I131" s="8"/>
      <c r="J131" s="14"/>
    </row>
    <row r="132" ht="12.75" customHeight="1">
      <c r="A132" s="8"/>
      <c r="B132" s="74"/>
      <c r="C132" s="8"/>
      <c r="D132" s="14"/>
      <c r="E132" s="8"/>
      <c r="F132" s="8"/>
      <c r="G132" s="8"/>
      <c r="H132" s="8"/>
      <c r="I132" s="8"/>
      <c r="J132" s="14"/>
    </row>
    <row r="133" ht="12.75" customHeight="1">
      <c r="A133" s="8"/>
      <c r="B133" s="74"/>
      <c r="C133" s="8"/>
      <c r="D133" s="14"/>
      <c r="E133" s="8"/>
      <c r="F133" s="8"/>
      <c r="G133" s="8"/>
      <c r="H133" s="8"/>
      <c r="I133" s="8"/>
      <c r="J133" s="14"/>
    </row>
    <row r="134" ht="12.75" customHeight="1">
      <c r="A134" s="8"/>
      <c r="B134" s="74"/>
      <c r="C134" s="8"/>
      <c r="D134" s="14"/>
      <c r="E134" s="8"/>
      <c r="F134" s="8"/>
      <c r="G134" s="8"/>
      <c r="H134" s="8"/>
      <c r="I134" s="8"/>
      <c r="J134" s="14"/>
    </row>
    <row r="135" ht="12.75" customHeight="1">
      <c r="A135" s="8"/>
      <c r="B135" s="74"/>
      <c r="C135" s="8"/>
      <c r="D135" s="14"/>
      <c r="E135" s="8"/>
      <c r="F135" s="8"/>
      <c r="G135" s="8"/>
      <c r="H135" s="8"/>
      <c r="I135" s="8"/>
      <c r="J135" s="14"/>
    </row>
    <row r="136" ht="12.75" customHeight="1">
      <c r="A136" s="8"/>
      <c r="B136" s="74"/>
      <c r="C136" s="8"/>
      <c r="D136" s="14"/>
      <c r="E136" s="8"/>
      <c r="F136" s="8"/>
      <c r="G136" s="8"/>
      <c r="H136" s="8"/>
      <c r="I136" s="8"/>
      <c r="J136" s="14"/>
    </row>
    <row r="137" ht="12.75" customHeight="1">
      <c r="A137" s="8"/>
      <c r="B137" s="74"/>
      <c r="C137" s="8"/>
      <c r="D137" s="14"/>
      <c r="E137" s="8"/>
      <c r="F137" s="8"/>
      <c r="G137" s="8"/>
      <c r="H137" s="8"/>
      <c r="I137" s="8"/>
      <c r="J137" s="14"/>
    </row>
    <row r="138" ht="12.75" customHeight="1">
      <c r="A138" s="8"/>
      <c r="B138" s="74"/>
      <c r="C138" s="8"/>
      <c r="D138" s="14"/>
      <c r="E138" s="8"/>
      <c r="F138" s="8"/>
      <c r="G138" s="8"/>
      <c r="H138" s="8"/>
      <c r="I138" s="8"/>
      <c r="J138" s="14"/>
    </row>
    <row r="139" ht="12.75" customHeight="1">
      <c r="A139" s="8"/>
      <c r="B139" s="74"/>
      <c r="C139" s="8"/>
      <c r="D139" s="14"/>
      <c r="E139" s="8"/>
      <c r="F139" s="8"/>
      <c r="G139" s="8"/>
      <c r="H139" s="8"/>
      <c r="I139" s="8"/>
      <c r="J139" s="14"/>
    </row>
    <row r="140" ht="12.75" customHeight="1">
      <c r="A140" s="8"/>
      <c r="B140" s="74"/>
      <c r="C140" s="8"/>
      <c r="D140" s="14"/>
      <c r="E140" s="8"/>
      <c r="F140" s="8"/>
      <c r="G140" s="8"/>
      <c r="H140" s="8"/>
      <c r="I140" s="8"/>
      <c r="J140" s="14"/>
    </row>
    <row r="141" ht="12.75" customHeight="1">
      <c r="A141" s="8"/>
      <c r="B141" s="74"/>
      <c r="C141" s="8"/>
      <c r="D141" s="14"/>
      <c r="E141" s="8"/>
      <c r="F141" s="8"/>
      <c r="G141" s="8"/>
      <c r="H141" s="8"/>
      <c r="I141" s="8"/>
      <c r="J141" s="14"/>
    </row>
    <row r="142" ht="12.75" customHeight="1">
      <c r="A142" s="8"/>
      <c r="B142" s="74"/>
      <c r="C142" s="8"/>
      <c r="D142" s="14"/>
      <c r="E142" s="8"/>
      <c r="F142" s="8"/>
      <c r="G142" s="8"/>
      <c r="H142" s="8"/>
      <c r="I142" s="8"/>
      <c r="J142" s="14"/>
    </row>
    <row r="143" ht="12.75" customHeight="1">
      <c r="A143" s="8"/>
      <c r="B143" s="74"/>
      <c r="C143" s="8"/>
      <c r="D143" s="14"/>
      <c r="E143" s="8"/>
      <c r="F143" s="8"/>
      <c r="G143" s="8"/>
      <c r="H143" s="8"/>
      <c r="I143" s="8"/>
      <c r="J143" s="14"/>
    </row>
    <row r="144" ht="12.75" customHeight="1">
      <c r="A144" s="8"/>
      <c r="B144" s="74"/>
      <c r="C144" s="8"/>
      <c r="D144" s="14"/>
      <c r="E144" s="8"/>
      <c r="F144" s="8"/>
      <c r="G144" s="8"/>
      <c r="H144" s="8"/>
      <c r="I144" s="8"/>
      <c r="J144" s="14"/>
    </row>
    <row r="145" ht="12.75" customHeight="1">
      <c r="A145" s="8"/>
      <c r="B145" s="74"/>
      <c r="C145" s="8"/>
      <c r="D145" s="14"/>
      <c r="E145" s="8"/>
      <c r="F145" s="8"/>
      <c r="G145" s="8"/>
      <c r="H145" s="8"/>
      <c r="I145" s="8"/>
      <c r="J145" s="14"/>
    </row>
    <row r="146" ht="12.75" customHeight="1">
      <c r="A146" s="8"/>
      <c r="B146" s="74"/>
      <c r="C146" s="8"/>
      <c r="D146" s="14"/>
      <c r="E146" s="8"/>
      <c r="F146" s="8"/>
      <c r="G146" s="8"/>
      <c r="H146" s="8"/>
      <c r="I146" s="8"/>
      <c r="J146" s="14"/>
    </row>
    <row r="147" ht="12.75" customHeight="1">
      <c r="A147" s="8"/>
      <c r="B147" s="74"/>
      <c r="C147" s="8"/>
      <c r="D147" s="14"/>
      <c r="E147" s="8"/>
      <c r="F147" s="8"/>
      <c r="G147" s="8"/>
      <c r="H147" s="8"/>
      <c r="I147" s="8"/>
      <c r="J147" s="14"/>
    </row>
    <row r="148" ht="12.75" customHeight="1">
      <c r="A148" s="8"/>
      <c r="B148" s="74"/>
      <c r="C148" s="8"/>
      <c r="D148" s="14"/>
      <c r="E148" s="8"/>
      <c r="F148" s="8"/>
      <c r="G148" s="8"/>
      <c r="H148" s="8"/>
      <c r="I148" s="8"/>
      <c r="J148" s="14"/>
    </row>
    <row r="149" ht="12.75" customHeight="1">
      <c r="A149" s="8"/>
      <c r="B149" s="74"/>
      <c r="C149" s="8"/>
      <c r="D149" s="14"/>
      <c r="E149" s="8"/>
      <c r="F149" s="8"/>
      <c r="G149" s="8"/>
      <c r="H149" s="8"/>
      <c r="I149" s="8"/>
      <c r="J149" s="14"/>
    </row>
    <row r="150" ht="12.75" customHeight="1">
      <c r="A150" s="8"/>
      <c r="B150" s="74"/>
      <c r="C150" s="8"/>
      <c r="D150" s="14"/>
      <c r="E150" s="8"/>
      <c r="F150" s="8"/>
      <c r="G150" s="8"/>
      <c r="H150" s="8"/>
      <c r="I150" s="8"/>
      <c r="J150" s="14"/>
    </row>
    <row r="151" ht="12.75" customHeight="1">
      <c r="A151" s="8"/>
      <c r="B151" s="74"/>
      <c r="C151" s="8"/>
      <c r="D151" s="14"/>
      <c r="E151" s="8"/>
      <c r="F151" s="8"/>
      <c r="G151" s="8"/>
      <c r="H151" s="8"/>
      <c r="I151" s="8"/>
      <c r="J151" s="14"/>
    </row>
    <row r="152" ht="12.75" customHeight="1">
      <c r="A152" s="8"/>
      <c r="B152" s="74"/>
      <c r="C152" s="8"/>
      <c r="D152" s="14"/>
      <c r="E152" s="8"/>
      <c r="F152" s="8"/>
      <c r="G152" s="8"/>
      <c r="H152" s="8"/>
      <c r="I152" s="8"/>
      <c r="J152" s="14"/>
    </row>
    <row r="153" ht="12.75" customHeight="1">
      <c r="A153" s="8"/>
      <c r="B153" s="74"/>
      <c r="C153" s="8"/>
      <c r="D153" s="14"/>
      <c r="E153" s="8"/>
      <c r="F153" s="8"/>
      <c r="G153" s="8"/>
      <c r="H153" s="8"/>
      <c r="I153" s="8"/>
      <c r="J153" s="14"/>
    </row>
    <row r="154" ht="12.75" customHeight="1">
      <c r="A154" s="8"/>
      <c r="B154" s="74"/>
      <c r="C154" s="8"/>
      <c r="D154" s="14"/>
      <c r="E154" s="8"/>
      <c r="F154" s="8"/>
      <c r="G154" s="8"/>
      <c r="H154" s="8"/>
      <c r="I154" s="8"/>
      <c r="J154" s="14"/>
    </row>
    <row r="155" ht="12.75" customHeight="1">
      <c r="A155" s="8"/>
      <c r="B155" s="74"/>
      <c r="C155" s="8"/>
      <c r="D155" s="14"/>
      <c r="E155" s="8"/>
      <c r="F155" s="8"/>
      <c r="G155" s="8"/>
      <c r="H155" s="8"/>
      <c r="I155" s="8"/>
      <c r="J155" s="14"/>
    </row>
    <row r="156" ht="12.75" customHeight="1">
      <c r="A156" s="8"/>
      <c r="B156" s="74"/>
      <c r="C156" s="8"/>
      <c r="D156" s="14"/>
      <c r="E156" s="8"/>
      <c r="F156" s="8"/>
      <c r="G156" s="8"/>
      <c r="H156" s="8"/>
      <c r="I156" s="8"/>
      <c r="J156" s="14"/>
    </row>
    <row r="157" ht="12.75" customHeight="1">
      <c r="A157" s="8"/>
      <c r="B157" s="74"/>
      <c r="C157" s="8"/>
      <c r="D157" s="14"/>
      <c r="E157" s="8"/>
      <c r="F157" s="8"/>
      <c r="G157" s="8"/>
      <c r="H157" s="8"/>
      <c r="I157" s="8"/>
      <c r="J157" s="14"/>
    </row>
    <row r="158" ht="12.75" customHeight="1">
      <c r="A158" s="8"/>
      <c r="B158" s="74"/>
      <c r="C158" s="8"/>
      <c r="D158" s="14"/>
      <c r="E158" s="8"/>
      <c r="F158" s="8"/>
      <c r="G158" s="8"/>
      <c r="H158" s="8"/>
      <c r="I158" s="8"/>
      <c r="J158" s="14"/>
    </row>
    <row r="159" ht="12.75" customHeight="1">
      <c r="A159" s="8"/>
      <c r="B159" s="74"/>
      <c r="C159" s="8"/>
      <c r="D159" s="14"/>
      <c r="E159" s="8"/>
      <c r="F159" s="8"/>
      <c r="G159" s="8"/>
      <c r="H159" s="8"/>
      <c r="I159" s="8"/>
      <c r="J159" s="14"/>
    </row>
    <row r="160" ht="12.75" customHeight="1">
      <c r="A160" s="8"/>
      <c r="B160" s="74"/>
      <c r="C160" s="8"/>
      <c r="D160" s="14"/>
      <c r="E160" s="8"/>
      <c r="F160" s="8"/>
      <c r="G160" s="8"/>
      <c r="H160" s="8"/>
      <c r="I160" s="8"/>
      <c r="J160" s="14"/>
    </row>
    <row r="161" ht="12.75" customHeight="1">
      <c r="A161" s="8"/>
      <c r="B161" s="74"/>
      <c r="C161" s="8"/>
      <c r="D161" s="14"/>
      <c r="E161" s="8"/>
      <c r="F161" s="8"/>
      <c r="G161" s="8"/>
      <c r="H161" s="8"/>
      <c r="I161" s="8"/>
      <c r="J161" s="14"/>
    </row>
    <row r="162" ht="12.75" customHeight="1">
      <c r="A162" s="8"/>
      <c r="B162" s="74"/>
      <c r="C162" s="8"/>
      <c r="D162" s="14"/>
      <c r="E162" s="8"/>
      <c r="F162" s="8"/>
      <c r="G162" s="8"/>
      <c r="H162" s="8"/>
      <c r="I162" s="8"/>
      <c r="J162" s="14"/>
    </row>
    <row r="163" ht="12.75" customHeight="1">
      <c r="A163" s="8"/>
      <c r="B163" s="74"/>
      <c r="C163" s="8"/>
      <c r="D163" s="14"/>
      <c r="E163" s="8"/>
      <c r="F163" s="8"/>
      <c r="G163" s="8"/>
      <c r="H163" s="8"/>
      <c r="I163" s="8"/>
      <c r="J163" s="14"/>
    </row>
    <row r="164" ht="12.75" customHeight="1">
      <c r="A164" s="8"/>
      <c r="B164" s="74"/>
      <c r="C164" s="8"/>
      <c r="D164" s="14"/>
      <c r="E164" s="8"/>
      <c r="F164" s="8"/>
      <c r="G164" s="8"/>
      <c r="H164" s="8"/>
      <c r="I164" s="8"/>
      <c r="J164" s="14"/>
    </row>
    <row r="165" ht="12.75" customHeight="1">
      <c r="A165" s="8"/>
      <c r="B165" s="74"/>
      <c r="C165" s="8"/>
      <c r="D165" s="14"/>
      <c r="E165" s="8"/>
      <c r="F165" s="8"/>
      <c r="G165" s="8"/>
      <c r="H165" s="8"/>
      <c r="I165" s="8"/>
      <c r="J165" s="14"/>
    </row>
    <row r="166" ht="12.75" customHeight="1">
      <c r="A166" s="8"/>
      <c r="B166" s="74"/>
      <c r="C166" s="8"/>
      <c r="D166" s="14"/>
      <c r="E166" s="8"/>
      <c r="F166" s="8"/>
      <c r="G166" s="8"/>
      <c r="H166" s="8"/>
      <c r="I166" s="8"/>
      <c r="J166" s="14"/>
    </row>
    <row r="167" ht="12.75" customHeight="1">
      <c r="A167" s="8"/>
      <c r="B167" s="74"/>
      <c r="C167" s="8"/>
      <c r="D167" s="14"/>
      <c r="E167" s="8"/>
      <c r="F167" s="8"/>
      <c r="G167" s="8"/>
      <c r="H167" s="8"/>
      <c r="I167" s="8"/>
      <c r="J167" s="14"/>
    </row>
    <row r="168" ht="12.75" customHeight="1">
      <c r="A168" s="8"/>
      <c r="B168" s="74"/>
      <c r="C168" s="8"/>
      <c r="D168" s="14"/>
      <c r="E168" s="8"/>
      <c r="F168" s="8"/>
      <c r="G168" s="8"/>
      <c r="H168" s="8"/>
      <c r="I168" s="8"/>
      <c r="J168" s="14"/>
    </row>
    <row r="169" ht="12.75" customHeight="1">
      <c r="A169" s="8"/>
      <c r="B169" s="74"/>
      <c r="C169" s="8"/>
      <c r="D169" s="14"/>
      <c r="E169" s="8"/>
      <c r="F169" s="8"/>
      <c r="G169" s="8"/>
      <c r="H169" s="8"/>
      <c r="I169" s="8"/>
      <c r="J169" s="14"/>
    </row>
    <row r="170" ht="12.75" customHeight="1">
      <c r="A170" s="8"/>
      <c r="B170" s="74"/>
      <c r="C170" s="8"/>
      <c r="D170" s="14"/>
      <c r="E170" s="8"/>
      <c r="F170" s="8"/>
      <c r="G170" s="8"/>
      <c r="H170" s="8"/>
      <c r="I170" s="8"/>
      <c r="J170" s="14"/>
    </row>
    <row r="171" ht="12.75" customHeight="1">
      <c r="A171" s="8"/>
      <c r="B171" s="74"/>
      <c r="C171" s="8"/>
      <c r="D171" s="14"/>
      <c r="E171" s="8"/>
      <c r="F171" s="8"/>
      <c r="G171" s="8"/>
      <c r="H171" s="8"/>
      <c r="I171" s="8"/>
      <c r="J171" s="14"/>
    </row>
    <row r="172" ht="12.75" customHeight="1">
      <c r="A172" s="8"/>
      <c r="B172" s="74"/>
      <c r="C172" s="8"/>
      <c r="D172" s="14"/>
      <c r="E172" s="8"/>
      <c r="F172" s="8"/>
      <c r="G172" s="8"/>
      <c r="H172" s="8"/>
      <c r="I172" s="8"/>
      <c r="J172" s="14"/>
    </row>
    <row r="173" ht="12.75" customHeight="1">
      <c r="A173" s="8"/>
      <c r="B173" s="74"/>
      <c r="C173" s="8"/>
      <c r="D173" s="14"/>
      <c r="E173" s="8"/>
      <c r="F173" s="8"/>
      <c r="G173" s="8"/>
      <c r="H173" s="8"/>
      <c r="I173" s="8"/>
      <c r="J173" s="14"/>
    </row>
    <row r="174" ht="12.75" customHeight="1">
      <c r="A174" s="8"/>
      <c r="B174" s="74"/>
      <c r="C174" s="8"/>
      <c r="D174" s="14"/>
      <c r="E174" s="8"/>
      <c r="F174" s="8"/>
      <c r="G174" s="8"/>
      <c r="H174" s="8"/>
      <c r="I174" s="8"/>
      <c r="J174" s="14"/>
    </row>
    <row r="175" ht="12.75" customHeight="1">
      <c r="A175" s="8"/>
      <c r="B175" s="74"/>
      <c r="C175" s="8"/>
      <c r="D175" s="14"/>
      <c r="E175" s="8"/>
      <c r="F175" s="8"/>
      <c r="G175" s="8"/>
      <c r="H175" s="8"/>
      <c r="I175" s="8"/>
      <c r="J175" s="14"/>
    </row>
    <row r="176" ht="12.75" customHeight="1">
      <c r="A176" s="8"/>
      <c r="B176" s="74"/>
      <c r="C176" s="8"/>
      <c r="D176" s="14"/>
      <c r="E176" s="8"/>
      <c r="F176" s="8"/>
      <c r="G176" s="8"/>
      <c r="H176" s="8"/>
      <c r="I176" s="8"/>
      <c r="J176" s="14"/>
    </row>
    <row r="177" ht="12.75" customHeight="1">
      <c r="A177" s="8"/>
      <c r="B177" s="74"/>
      <c r="C177" s="8"/>
      <c r="D177" s="14"/>
      <c r="E177" s="8"/>
      <c r="F177" s="8"/>
      <c r="G177" s="8"/>
      <c r="H177" s="8"/>
      <c r="I177" s="8"/>
      <c r="J177" s="14"/>
    </row>
    <row r="178" ht="12.75" customHeight="1">
      <c r="A178" s="8"/>
      <c r="B178" s="74"/>
      <c r="C178" s="8"/>
      <c r="D178" s="14"/>
      <c r="E178" s="8"/>
      <c r="F178" s="8"/>
      <c r="G178" s="8"/>
      <c r="H178" s="8"/>
      <c r="I178" s="8"/>
      <c r="J178" s="14"/>
    </row>
    <row r="179" ht="12.75" customHeight="1">
      <c r="A179" s="8"/>
      <c r="B179" s="74"/>
      <c r="C179" s="8"/>
      <c r="D179" s="14"/>
      <c r="E179" s="8"/>
      <c r="F179" s="8"/>
      <c r="G179" s="8"/>
      <c r="H179" s="8"/>
      <c r="I179" s="8"/>
      <c r="J179" s="14"/>
    </row>
    <row r="180" ht="12.75" customHeight="1">
      <c r="A180" s="8"/>
      <c r="B180" s="74"/>
      <c r="C180" s="8"/>
      <c r="D180" s="14"/>
      <c r="E180" s="8"/>
      <c r="F180" s="8"/>
      <c r="G180" s="8"/>
      <c r="H180" s="8"/>
      <c r="I180" s="8"/>
      <c r="J180" s="14"/>
    </row>
    <row r="181" ht="12.75" customHeight="1">
      <c r="A181" s="8"/>
      <c r="B181" s="74"/>
      <c r="C181" s="8"/>
      <c r="D181" s="14"/>
      <c r="E181" s="8"/>
      <c r="F181" s="8"/>
      <c r="G181" s="8"/>
      <c r="H181" s="8"/>
      <c r="I181" s="8"/>
      <c r="J181" s="14"/>
    </row>
    <row r="182" ht="12.75" customHeight="1">
      <c r="A182" s="8"/>
      <c r="B182" s="74"/>
      <c r="C182" s="8"/>
      <c r="D182" s="14"/>
      <c r="E182" s="8"/>
      <c r="F182" s="8"/>
      <c r="G182" s="8"/>
      <c r="H182" s="8"/>
      <c r="I182" s="8"/>
      <c r="J182" s="14"/>
    </row>
    <row r="183" ht="12.75" customHeight="1">
      <c r="A183" s="8"/>
      <c r="B183" s="74"/>
      <c r="C183" s="8"/>
      <c r="D183" s="14"/>
      <c r="E183" s="8"/>
      <c r="F183" s="8"/>
      <c r="G183" s="8"/>
      <c r="H183" s="8"/>
      <c r="I183" s="8"/>
      <c r="J183" s="14"/>
    </row>
    <row r="184" ht="12.75" customHeight="1">
      <c r="A184" s="8"/>
      <c r="B184" s="74"/>
      <c r="C184" s="8"/>
      <c r="D184" s="14"/>
      <c r="E184" s="8"/>
      <c r="F184" s="8"/>
      <c r="G184" s="8"/>
      <c r="H184" s="8"/>
      <c r="I184" s="8"/>
      <c r="J184" s="14"/>
    </row>
    <row r="185" ht="12.75" customHeight="1">
      <c r="A185" s="8"/>
      <c r="B185" s="74"/>
      <c r="C185" s="8"/>
      <c r="D185" s="14"/>
      <c r="E185" s="8"/>
      <c r="F185" s="8"/>
      <c r="G185" s="8"/>
      <c r="H185" s="8"/>
      <c r="I185" s="8"/>
      <c r="J185" s="14"/>
    </row>
    <row r="186" ht="12.75" customHeight="1">
      <c r="A186" s="8"/>
      <c r="B186" s="74"/>
      <c r="C186" s="8"/>
      <c r="D186" s="14"/>
      <c r="E186" s="8"/>
      <c r="F186" s="8"/>
      <c r="G186" s="8"/>
      <c r="H186" s="8"/>
      <c r="I186" s="8"/>
      <c r="J186" s="14"/>
    </row>
    <row r="187" ht="12.75" customHeight="1">
      <c r="A187" s="8"/>
      <c r="B187" s="74"/>
      <c r="C187" s="8"/>
      <c r="D187" s="14"/>
      <c r="E187" s="8"/>
      <c r="F187" s="8"/>
      <c r="G187" s="8"/>
      <c r="H187" s="8"/>
      <c r="I187" s="8"/>
      <c r="J187" s="14"/>
    </row>
    <row r="188" ht="12.75" customHeight="1">
      <c r="A188" s="8"/>
      <c r="B188" s="74"/>
      <c r="C188" s="8"/>
      <c r="D188" s="14"/>
      <c r="E188" s="8"/>
      <c r="F188" s="8"/>
      <c r="G188" s="8"/>
      <c r="H188" s="8"/>
      <c r="I188" s="8"/>
      <c r="J188" s="14"/>
    </row>
    <row r="189" ht="12.75" customHeight="1">
      <c r="A189" s="8"/>
      <c r="B189" s="74"/>
      <c r="C189" s="8"/>
      <c r="D189" s="14"/>
      <c r="E189" s="8"/>
      <c r="F189" s="8"/>
      <c r="G189" s="8"/>
      <c r="H189" s="8"/>
      <c r="I189" s="8"/>
      <c r="J189" s="14"/>
    </row>
    <row r="190" ht="12.75" customHeight="1">
      <c r="A190" s="8"/>
      <c r="B190" s="74"/>
      <c r="C190" s="8"/>
      <c r="D190" s="14"/>
      <c r="E190" s="8"/>
      <c r="F190" s="8"/>
      <c r="G190" s="8"/>
      <c r="H190" s="8"/>
      <c r="I190" s="8"/>
      <c r="J190" s="14"/>
    </row>
    <row r="191" ht="12.75" customHeight="1">
      <c r="A191" s="8"/>
      <c r="B191" s="74"/>
      <c r="C191" s="8"/>
      <c r="D191" s="14"/>
      <c r="E191" s="8"/>
      <c r="F191" s="8"/>
      <c r="G191" s="8"/>
      <c r="H191" s="8"/>
      <c r="I191" s="8"/>
      <c r="J191" s="14"/>
    </row>
    <row r="192" ht="12.75" customHeight="1">
      <c r="A192" s="8"/>
      <c r="B192" s="74"/>
      <c r="C192" s="8"/>
      <c r="D192" s="14"/>
      <c r="E192" s="8"/>
      <c r="F192" s="8"/>
      <c r="G192" s="8"/>
      <c r="H192" s="8"/>
      <c r="I192" s="8"/>
      <c r="J192" s="14"/>
    </row>
    <row r="193" ht="12.75" customHeight="1">
      <c r="A193" s="8"/>
      <c r="B193" s="74"/>
      <c r="C193" s="8"/>
      <c r="D193" s="14"/>
      <c r="E193" s="8"/>
      <c r="F193" s="8"/>
      <c r="G193" s="8"/>
      <c r="H193" s="8"/>
      <c r="I193" s="8"/>
      <c r="J193" s="14"/>
    </row>
    <row r="194" ht="12.75" customHeight="1">
      <c r="A194" s="8"/>
      <c r="B194" s="74"/>
      <c r="C194" s="8"/>
      <c r="D194" s="14"/>
      <c r="E194" s="8"/>
      <c r="F194" s="8"/>
      <c r="G194" s="8"/>
      <c r="H194" s="8"/>
      <c r="I194" s="8"/>
      <c r="J194" s="14"/>
    </row>
    <row r="195" ht="12.75" customHeight="1">
      <c r="A195" s="8"/>
      <c r="B195" s="74"/>
      <c r="C195" s="8"/>
      <c r="D195" s="14"/>
      <c r="E195" s="8"/>
      <c r="F195" s="8"/>
      <c r="G195" s="8"/>
      <c r="H195" s="8"/>
      <c r="I195" s="8"/>
      <c r="J195" s="14"/>
    </row>
    <row r="196" ht="12.75" customHeight="1">
      <c r="A196" s="8"/>
      <c r="B196" s="74"/>
      <c r="C196" s="8"/>
      <c r="D196" s="14"/>
      <c r="E196" s="8"/>
      <c r="F196" s="8"/>
      <c r="G196" s="8"/>
      <c r="H196" s="8"/>
      <c r="I196" s="8"/>
      <c r="J196" s="14"/>
    </row>
    <row r="197" ht="12.75" customHeight="1">
      <c r="A197" s="8"/>
      <c r="B197" s="74"/>
      <c r="C197" s="8"/>
      <c r="D197" s="14"/>
      <c r="E197" s="8"/>
      <c r="F197" s="8"/>
      <c r="G197" s="8"/>
      <c r="H197" s="8"/>
      <c r="I197" s="8"/>
      <c r="J197" s="14"/>
    </row>
    <row r="198" ht="12.75" customHeight="1">
      <c r="A198" s="8"/>
      <c r="B198" s="74"/>
      <c r="C198" s="8"/>
      <c r="D198" s="14"/>
      <c r="E198" s="8"/>
      <c r="F198" s="8"/>
      <c r="G198" s="8"/>
      <c r="H198" s="8"/>
      <c r="I198" s="8"/>
      <c r="J198" s="14"/>
    </row>
    <row r="199" ht="12.75" customHeight="1">
      <c r="A199" s="8"/>
      <c r="B199" s="74"/>
      <c r="C199" s="8"/>
      <c r="D199" s="14"/>
      <c r="E199" s="8"/>
      <c r="F199" s="8"/>
      <c r="G199" s="8"/>
      <c r="H199" s="8"/>
      <c r="I199" s="8"/>
      <c r="J199" s="14"/>
    </row>
    <row r="200" ht="12.75" customHeight="1">
      <c r="A200" s="8"/>
      <c r="B200" s="74"/>
      <c r="C200" s="8"/>
      <c r="D200" s="14"/>
      <c r="E200" s="8"/>
      <c r="F200" s="8"/>
      <c r="G200" s="8"/>
      <c r="H200" s="8"/>
      <c r="I200" s="8"/>
      <c r="J200" s="14"/>
    </row>
    <row r="201" ht="12.75" customHeight="1">
      <c r="A201" s="8"/>
      <c r="B201" s="74"/>
      <c r="C201" s="8"/>
      <c r="D201" s="14"/>
      <c r="E201" s="8"/>
      <c r="F201" s="8"/>
      <c r="G201" s="8"/>
      <c r="H201" s="8"/>
      <c r="I201" s="8"/>
      <c r="J201" s="14"/>
    </row>
    <row r="202" ht="12.75" customHeight="1">
      <c r="A202" s="8"/>
      <c r="B202" s="74"/>
      <c r="C202" s="8"/>
      <c r="D202" s="14"/>
      <c r="E202" s="8"/>
      <c r="F202" s="8"/>
      <c r="G202" s="8"/>
      <c r="H202" s="8"/>
      <c r="I202" s="8"/>
      <c r="J202" s="14"/>
    </row>
    <row r="203" ht="12.75" customHeight="1">
      <c r="A203" s="8"/>
      <c r="B203" s="74"/>
      <c r="C203" s="8"/>
      <c r="D203" s="14"/>
      <c r="E203" s="8"/>
      <c r="F203" s="8"/>
      <c r="G203" s="8"/>
      <c r="H203" s="8"/>
      <c r="I203" s="8"/>
      <c r="J203" s="14"/>
    </row>
    <row r="204" ht="12.75" customHeight="1">
      <c r="A204" s="8"/>
      <c r="B204" s="74"/>
      <c r="C204" s="8"/>
      <c r="D204" s="14"/>
      <c r="E204" s="8"/>
      <c r="F204" s="8"/>
      <c r="G204" s="8"/>
      <c r="H204" s="8"/>
      <c r="I204" s="8"/>
      <c r="J204" s="14"/>
    </row>
    <row r="205" ht="12.75" customHeight="1">
      <c r="A205" s="8"/>
      <c r="B205" s="74"/>
      <c r="C205" s="8"/>
      <c r="D205" s="14"/>
      <c r="E205" s="8"/>
      <c r="F205" s="8"/>
      <c r="G205" s="8"/>
      <c r="H205" s="8"/>
      <c r="I205" s="8"/>
      <c r="J205" s="14"/>
    </row>
    <row r="206" ht="12.75" customHeight="1">
      <c r="A206" s="8"/>
      <c r="B206" s="74"/>
      <c r="C206" s="8"/>
      <c r="D206" s="14"/>
      <c r="E206" s="8"/>
      <c r="F206" s="8"/>
      <c r="G206" s="8"/>
      <c r="H206" s="8"/>
      <c r="I206" s="8"/>
      <c r="J206" s="14"/>
    </row>
    <row r="207" ht="12.75" customHeight="1">
      <c r="A207" s="8"/>
      <c r="B207" s="74"/>
      <c r="C207" s="8"/>
      <c r="D207" s="14"/>
      <c r="E207" s="8"/>
      <c r="F207" s="8"/>
      <c r="G207" s="8"/>
      <c r="H207" s="8"/>
      <c r="I207" s="8"/>
      <c r="J207" s="14"/>
    </row>
    <row r="208" ht="12.75" customHeight="1">
      <c r="A208" s="8"/>
      <c r="B208" s="74"/>
      <c r="C208" s="8"/>
      <c r="D208" s="14"/>
      <c r="E208" s="8"/>
      <c r="F208" s="8"/>
      <c r="G208" s="8"/>
      <c r="H208" s="8"/>
      <c r="I208" s="8"/>
      <c r="J208" s="14"/>
    </row>
    <row r="209" ht="12.75" customHeight="1">
      <c r="A209" s="8"/>
      <c r="B209" s="74"/>
      <c r="C209" s="8"/>
      <c r="D209" s="14"/>
      <c r="E209" s="8"/>
      <c r="F209" s="8"/>
      <c r="G209" s="8"/>
      <c r="H209" s="8"/>
      <c r="I209" s="8"/>
      <c r="J209" s="14"/>
    </row>
    <row r="210" ht="12.75" customHeight="1">
      <c r="A210" s="8"/>
      <c r="B210" s="74"/>
      <c r="C210" s="8"/>
      <c r="D210" s="14"/>
      <c r="E210" s="8"/>
      <c r="F210" s="8"/>
      <c r="G210" s="8"/>
      <c r="H210" s="8"/>
      <c r="I210" s="8"/>
      <c r="J210" s="14"/>
    </row>
    <row r="211" ht="12.75" customHeight="1">
      <c r="A211" s="8"/>
      <c r="B211" s="74"/>
      <c r="C211" s="8"/>
      <c r="D211" s="14"/>
      <c r="E211" s="8"/>
      <c r="F211" s="8"/>
      <c r="G211" s="8"/>
      <c r="H211" s="8"/>
      <c r="I211" s="8"/>
      <c r="J211" s="14"/>
    </row>
    <row r="212" ht="12.75" customHeight="1">
      <c r="A212" s="8"/>
      <c r="B212" s="74"/>
      <c r="C212" s="8"/>
      <c r="D212" s="14"/>
      <c r="E212" s="8"/>
      <c r="F212" s="8"/>
      <c r="G212" s="8"/>
      <c r="H212" s="8"/>
      <c r="I212" s="8"/>
      <c r="J212" s="14"/>
    </row>
    <row r="213" ht="12.75" customHeight="1">
      <c r="A213" s="8"/>
      <c r="B213" s="74"/>
      <c r="C213" s="8"/>
      <c r="D213" s="14"/>
      <c r="E213" s="8"/>
      <c r="F213" s="8"/>
      <c r="G213" s="8"/>
      <c r="H213" s="8"/>
      <c r="I213" s="8"/>
      <c r="J213" s="14"/>
    </row>
    <row r="214" ht="12.75" customHeight="1">
      <c r="A214" s="8"/>
      <c r="B214" s="74"/>
      <c r="C214" s="8"/>
      <c r="D214" s="14"/>
      <c r="E214" s="8"/>
      <c r="F214" s="8"/>
      <c r="G214" s="8"/>
      <c r="H214" s="8"/>
      <c r="I214" s="8"/>
      <c r="J214" s="14"/>
    </row>
    <row r="215" ht="12.75" customHeight="1">
      <c r="A215" s="8"/>
      <c r="B215" s="74"/>
      <c r="C215" s="8"/>
      <c r="D215" s="14"/>
      <c r="E215" s="8"/>
      <c r="F215" s="8"/>
      <c r="G215" s="8"/>
      <c r="H215" s="8"/>
      <c r="I215" s="8"/>
      <c r="J215" s="14"/>
    </row>
    <row r="216" ht="12.75" customHeight="1">
      <c r="A216" s="8"/>
      <c r="B216" s="74"/>
      <c r="C216" s="8"/>
      <c r="D216" s="14"/>
      <c r="E216" s="8"/>
      <c r="F216" s="8"/>
      <c r="G216" s="8"/>
      <c r="H216" s="8"/>
      <c r="I216" s="8"/>
      <c r="J216" s="14"/>
    </row>
    <row r="217" ht="12.75" customHeight="1">
      <c r="A217" s="8"/>
      <c r="B217" s="74"/>
      <c r="C217" s="8"/>
      <c r="D217" s="14"/>
      <c r="E217" s="8"/>
      <c r="F217" s="8"/>
      <c r="G217" s="8"/>
      <c r="H217" s="8"/>
      <c r="I217" s="8"/>
      <c r="J217" s="14"/>
    </row>
    <row r="218" ht="12.75" customHeight="1">
      <c r="A218" s="8"/>
      <c r="B218" s="74"/>
      <c r="C218" s="8"/>
      <c r="D218" s="14"/>
      <c r="E218" s="8"/>
      <c r="F218" s="8"/>
      <c r="G218" s="8"/>
      <c r="H218" s="8"/>
      <c r="I218" s="8"/>
      <c r="J218" s="14"/>
    </row>
    <row r="219" ht="12.75" customHeight="1">
      <c r="A219" s="8"/>
      <c r="B219" s="74"/>
      <c r="C219" s="8"/>
      <c r="D219" s="14"/>
      <c r="E219" s="8"/>
      <c r="F219" s="8"/>
      <c r="G219" s="8"/>
      <c r="H219" s="8"/>
      <c r="I219" s="8"/>
      <c r="J219" s="14"/>
    </row>
    <row r="220" ht="12.75" customHeight="1">
      <c r="A220" s="8"/>
      <c r="B220" s="74"/>
      <c r="C220" s="8"/>
      <c r="D220" s="14"/>
      <c r="E220" s="8"/>
      <c r="F220" s="8"/>
      <c r="G220" s="8"/>
      <c r="H220" s="8"/>
      <c r="I220" s="8"/>
      <c r="J220" s="14"/>
    </row>
    <row r="221" ht="12.75" customHeight="1">
      <c r="A221" s="8"/>
      <c r="B221" s="74"/>
      <c r="C221" s="8"/>
      <c r="D221" s="14"/>
      <c r="E221" s="8"/>
      <c r="F221" s="8"/>
      <c r="G221" s="8"/>
      <c r="H221" s="8"/>
      <c r="I221" s="8"/>
      <c r="J221" s="14"/>
    </row>
    <row r="222" ht="12.75" customHeight="1">
      <c r="A222" s="8"/>
      <c r="B222" s="74"/>
      <c r="C222" s="8"/>
      <c r="D222" s="14"/>
      <c r="E222" s="8"/>
      <c r="F222" s="8"/>
      <c r="G222" s="8"/>
      <c r="H222" s="8"/>
      <c r="I222" s="8"/>
      <c r="J222" s="14"/>
    </row>
    <row r="223" ht="12.75" customHeight="1">
      <c r="A223" s="8"/>
      <c r="B223" s="74"/>
      <c r="C223" s="8"/>
      <c r="D223" s="14"/>
      <c r="E223" s="8"/>
      <c r="F223" s="8"/>
      <c r="G223" s="8"/>
      <c r="H223" s="8"/>
      <c r="I223" s="8"/>
      <c r="J223" s="14"/>
    </row>
    <row r="224" ht="12.75" customHeight="1">
      <c r="A224" s="8"/>
      <c r="B224" s="74"/>
      <c r="C224" s="8"/>
      <c r="D224" s="14"/>
      <c r="E224" s="8"/>
      <c r="F224" s="8"/>
      <c r="G224" s="8"/>
      <c r="H224" s="8"/>
      <c r="I224" s="8"/>
      <c r="J224" s="14"/>
    </row>
    <row r="225" ht="12.75" customHeight="1">
      <c r="A225" s="8"/>
      <c r="B225" s="74"/>
      <c r="C225" s="8"/>
      <c r="D225" s="14"/>
      <c r="E225" s="8"/>
      <c r="F225" s="8"/>
      <c r="G225" s="8"/>
      <c r="H225" s="8"/>
      <c r="I225" s="8"/>
      <c r="J225" s="14"/>
    </row>
    <row r="226" ht="12.75" customHeight="1">
      <c r="A226" s="8"/>
      <c r="B226" s="74"/>
      <c r="C226" s="8"/>
      <c r="D226" s="14"/>
      <c r="E226" s="8"/>
      <c r="F226" s="8"/>
      <c r="G226" s="8"/>
      <c r="H226" s="8"/>
      <c r="I226" s="8"/>
      <c r="J226" s="14"/>
    </row>
    <row r="227" ht="12.75" customHeight="1">
      <c r="A227" s="8"/>
      <c r="B227" s="74"/>
      <c r="C227" s="8"/>
      <c r="D227" s="14"/>
      <c r="E227" s="8"/>
      <c r="F227" s="8"/>
      <c r="G227" s="8"/>
      <c r="H227" s="8"/>
      <c r="I227" s="8"/>
      <c r="J227" s="14"/>
    </row>
    <row r="228" ht="12.75" customHeight="1">
      <c r="A228" s="8"/>
      <c r="B228" s="74"/>
      <c r="C228" s="8"/>
      <c r="D228" s="14"/>
      <c r="E228" s="8"/>
      <c r="F228" s="8"/>
      <c r="G228" s="8"/>
      <c r="H228" s="8"/>
      <c r="I228" s="8"/>
      <c r="J228" s="14"/>
    </row>
    <row r="229" ht="12.75" customHeight="1">
      <c r="A229" s="8"/>
      <c r="B229" s="74"/>
      <c r="C229" s="8"/>
      <c r="D229" s="14"/>
      <c r="E229" s="8"/>
      <c r="F229" s="8"/>
      <c r="G229" s="8"/>
      <c r="H229" s="8"/>
      <c r="I229" s="8"/>
      <c r="J229" s="14"/>
    </row>
    <row r="230" ht="12.75" customHeight="1">
      <c r="A230" s="8"/>
      <c r="B230" s="74"/>
      <c r="C230" s="8"/>
      <c r="D230" s="14"/>
      <c r="E230" s="8"/>
      <c r="F230" s="8"/>
      <c r="G230" s="8"/>
      <c r="H230" s="8"/>
      <c r="I230" s="8"/>
      <c r="J230" s="14"/>
    </row>
    <row r="231" ht="12.75" customHeight="1">
      <c r="A231" s="8"/>
      <c r="B231" s="74"/>
      <c r="C231" s="8"/>
      <c r="D231" s="14"/>
      <c r="E231" s="8"/>
      <c r="F231" s="8"/>
      <c r="G231" s="8"/>
      <c r="H231" s="8"/>
      <c r="I231" s="8"/>
      <c r="J231" s="14"/>
    </row>
    <row r="232" ht="12.75" customHeight="1">
      <c r="A232" s="8"/>
      <c r="B232" s="74"/>
      <c r="C232" s="8"/>
      <c r="D232" s="14"/>
      <c r="E232" s="8"/>
      <c r="F232" s="8"/>
      <c r="G232" s="8"/>
      <c r="H232" s="8"/>
      <c r="I232" s="8"/>
      <c r="J232" s="14"/>
    </row>
    <row r="233" ht="12.75" customHeight="1">
      <c r="A233" s="8"/>
      <c r="B233" s="74"/>
      <c r="C233" s="8"/>
      <c r="D233" s="14"/>
      <c r="E233" s="8"/>
      <c r="F233" s="8"/>
      <c r="G233" s="8"/>
      <c r="H233" s="8"/>
      <c r="I233" s="8"/>
      <c r="J233" s="14"/>
    </row>
    <row r="234" ht="12.75" customHeight="1">
      <c r="A234" s="8"/>
      <c r="B234" s="74"/>
      <c r="C234" s="8"/>
      <c r="D234" s="14"/>
      <c r="E234" s="8"/>
      <c r="F234" s="8"/>
      <c r="G234" s="8"/>
      <c r="H234" s="8"/>
      <c r="I234" s="8"/>
      <c r="J234" s="14"/>
    </row>
    <row r="235" ht="12.75" customHeight="1">
      <c r="A235" s="8"/>
      <c r="B235" s="74"/>
      <c r="C235" s="8"/>
      <c r="D235" s="14"/>
      <c r="E235" s="8"/>
      <c r="F235" s="8"/>
      <c r="G235" s="8"/>
      <c r="H235" s="8"/>
      <c r="I235" s="8"/>
      <c r="J235" s="14"/>
    </row>
    <row r="236" ht="12.75" customHeight="1">
      <c r="A236" s="8"/>
      <c r="B236" s="74"/>
      <c r="C236" s="8"/>
      <c r="D236" s="14"/>
      <c r="E236" s="8"/>
      <c r="F236" s="8"/>
      <c r="G236" s="8"/>
      <c r="H236" s="8"/>
      <c r="I236" s="8"/>
      <c r="J236" s="14"/>
    </row>
    <row r="237" ht="12.75" customHeight="1">
      <c r="A237" s="8"/>
      <c r="B237" s="74"/>
      <c r="C237" s="8"/>
      <c r="D237" s="14"/>
      <c r="E237" s="8"/>
      <c r="F237" s="8"/>
      <c r="G237" s="8"/>
      <c r="H237" s="8"/>
      <c r="I237" s="8"/>
      <c r="J237" s="14"/>
    </row>
    <row r="238" ht="12.75" customHeight="1">
      <c r="A238" s="8"/>
      <c r="B238" s="74"/>
      <c r="C238" s="8"/>
      <c r="D238" s="14"/>
      <c r="E238" s="8"/>
      <c r="F238" s="8"/>
      <c r="G238" s="8"/>
      <c r="H238" s="8"/>
      <c r="I238" s="8"/>
      <c r="J238" s="14"/>
    </row>
    <row r="239" ht="12.75" customHeight="1">
      <c r="A239" s="8"/>
      <c r="B239" s="74"/>
      <c r="C239" s="8"/>
      <c r="D239" s="14"/>
      <c r="E239" s="8"/>
      <c r="F239" s="8"/>
      <c r="G239" s="8"/>
      <c r="H239" s="8"/>
      <c r="I239" s="8"/>
      <c r="J239" s="14"/>
    </row>
    <row r="240" ht="12.75" customHeight="1">
      <c r="A240" s="8"/>
      <c r="B240" s="74"/>
      <c r="C240" s="8"/>
      <c r="D240" s="14"/>
      <c r="E240" s="8"/>
      <c r="F240" s="8"/>
      <c r="G240" s="8"/>
      <c r="H240" s="8"/>
      <c r="I240" s="8"/>
      <c r="J240" s="14"/>
    </row>
    <row r="241" ht="12.75" customHeight="1">
      <c r="A241" s="8"/>
      <c r="B241" s="74"/>
      <c r="C241" s="8"/>
      <c r="D241" s="14"/>
      <c r="E241" s="8"/>
      <c r="F241" s="8"/>
      <c r="G241" s="8"/>
      <c r="H241" s="8"/>
      <c r="I241" s="8"/>
      <c r="J241" s="14"/>
    </row>
    <row r="242" ht="12.75" customHeight="1">
      <c r="A242" s="8"/>
      <c r="B242" s="74"/>
      <c r="C242" s="8"/>
      <c r="D242" s="14"/>
      <c r="E242" s="8"/>
      <c r="F242" s="8"/>
      <c r="G242" s="8"/>
      <c r="H242" s="8"/>
      <c r="I242" s="8"/>
      <c r="J242" s="14"/>
    </row>
    <row r="243" ht="12.75" customHeight="1">
      <c r="A243" s="8"/>
      <c r="B243" s="74"/>
      <c r="C243" s="8"/>
      <c r="D243" s="14"/>
      <c r="E243" s="8"/>
      <c r="F243" s="8"/>
      <c r="G243" s="8"/>
      <c r="H243" s="8"/>
      <c r="I243" s="8"/>
      <c r="J243" s="14"/>
    </row>
    <row r="244" ht="12.75" customHeight="1">
      <c r="A244" s="8"/>
      <c r="B244" s="74"/>
      <c r="C244" s="8"/>
      <c r="D244" s="14"/>
      <c r="E244" s="8"/>
      <c r="F244" s="8"/>
      <c r="G244" s="8"/>
      <c r="H244" s="8"/>
      <c r="I244" s="8"/>
      <c r="J244" s="14"/>
    </row>
    <row r="245" ht="12.75" customHeight="1">
      <c r="A245" s="8"/>
      <c r="B245" s="74"/>
      <c r="C245" s="8"/>
      <c r="D245" s="14"/>
      <c r="E245" s="8"/>
      <c r="F245" s="8"/>
      <c r="G245" s="8"/>
      <c r="H245" s="8"/>
      <c r="I245" s="8"/>
      <c r="J245" s="14"/>
    </row>
    <row r="246" ht="12.75" customHeight="1">
      <c r="A246" s="8"/>
      <c r="B246" s="74"/>
      <c r="C246" s="8"/>
      <c r="D246" s="14"/>
      <c r="E246" s="8"/>
      <c r="F246" s="8"/>
      <c r="G246" s="8"/>
      <c r="H246" s="8"/>
      <c r="I246" s="8"/>
      <c r="J246" s="14"/>
    </row>
    <row r="247" ht="12.75" customHeight="1">
      <c r="A247" s="8"/>
      <c r="B247" s="74"/>
      <c r="C247" s="8"/>
      <c r="D247" s="14"/>
      <c r="E247" s="8"/>
      <c r="F247" s="8"/>
      <c r="G247" s="8"/>
      <c r="H247" s="8"/>
      <c r="I247" s="8"/>
      <c r="J247" s="14"/>
    </row>
    <row r="248" ht="12.75" customHeight="1">
      <c r="A248" s="8"/>
      <c r="B248" s="74"/>
      <c r="C248" s="8"/>
      <c r="D248" s="14"/>
      <c r="E248" s="8"/>
      <c r="F248" s="8"/>
      <c r="G248" s="8"/>
      <c r="H248" s="8"/>
      <c r="I248" s="8"/>
      <c r="J248" s="14"/>
    </row>
    <row r="249" ht="12.75" customHeight="1">
      <c r="A249" s="8"/>
      <c r="B249" s="74"/>
      <c r="C249" s="8"/>
      <c r="D249" s="14"/>
      <c r="E249" s="8"/>
      <c r="F249" s="8"/>
      <c r="G249" s="8"/>
      <c r="H249" s="8"/>
      <c r="I249" s="8"/>
      <c r="J249" s="14"/>
    </row>
    <row r="250" ht="12.75" customHeight="1">
      <c r="A250" s="8"/>
      <c r="B250" s="74"/>
      <c r="C250" s="8"/>
      <c r="D250" s="14"/>
      <c r="E250" s="8"/>
      <c r="F250" s="8"/>
      <c r="G250" s="8"/>
      <c r="H250" s="8"/>
      <c r="I250" s="8"/>
      <c r="J250" s="14"/>
    </row>
    <row r="251" ht="12.75" customHeight="1">
      <c r="A251" s="8"/>
      <c r="B251" s="74"/>
      <c r="C251" s="8"/>
      <c r="D251" s="14"/>
      <c r="E251" s="8"/>
      <c r="F251" s="8"/>
      <c r="G251" s="8"/>
      <c r="H251" s="8"/>
      <c r="I251" s="8"/>
      <c r="J251" s="14"/>
    </row>
    <row r="252" ht="12.75" customHeight="1">
      <c r="A252" s="8"/>
      <c r="B252" s="74"/>
      <c r="C252" s="8"/>
      <c r="D252" s="14"/>
      <c r="E252" s="8"/>
      <c r="F252" s="8"/>
      <c r="G252" s="8"/>
      <c r="H252" s="8"/>
      <c r="I252" s="8"/>
      <c r="J252" s="14"/>
    </row>
    <row r="253" ht="12.75" customHeight="1">
      <c r="A253" s="8"/>
      <c r="B253" s="74"/>
      <c r="C253" s="8"/>
      <c r="D253" s="14"/>
      <c r="E253" s="8"/>
      <c r="F253" s="8"/>
      <c r="G253" s="8"/>
      <c r="H253" s="8"/>
      <c r="I253" s="8"/>
      <c r="J253" s="14"/>
    </row>
    <row r="254" ht="12.75" customHeight="1">
      <c r="A254" s="8"/>
      <c r="B254" s="74"/>
      <c r="C254" s="8"/>
      <c r="D254" s="14"/>
      <c r="E254" s="8"/>
      <c r="F254" s="8"/>
      <c r="G254" s="8"/>
      <c r="H254" s="8"/>
      <c r="I254" s="8"/>
      <c r="J254" s="14"/>
    </row>
    <row r="255" ht="12.75" customHeight="1">
      <c r="A255" s="8"/>
      <c r="B255" s="74"/>
      <c r="C255" s="8"/>
      <c r="D255" s="14"/>
      <c r="E255" s="8"/>
      <c r="F255" s="8"/>
      <c r="G255" s="8"/>
      <c r="H255" s="8"/>
      <c r="I255" s="8"/>
      <c r="J255" s="14"/>
    </row>
    <row r="256" ht="12.75" customHeight="1">
      <c r="A256" s="8"/>
      <c r="B256" s="74"/>
      <c r="C256" s="8"/>
      <c r="D256" s="14"/>
      <c r="E256" s="8"/>
      <c r="F256" s="8"/>
      <c r="G256" s="8"/>
      <c r="H256" s="8"/>
      <c r="I256" s="8"/>
      <c r="J256" s="14"/>
    </row>
    <row r="257" ht="12.75" customHeight="1">
      <c r="A257" s="8"/>
      <c r="B257" s="74"/>
      <c r="C257" s="8"/>
      <c r="D257" s="14"/>
      <c r="E257" s="8"/>
      <c r="F257" s="8"/>
      <c r="G257" s="8"/>
      <c r="H257" s="8"/>
      <c r="I257" s="8"/>
      <c r="J257" s="14"/>
    </row>
    <row r="258" ht="12.75" customHeight="1">
      <c r="A258" s="8"/>
      <c r="B258" s="74"/>
      <c r="C258" s="8"/>
      <c r="D258" s="14"/>
      <c r="E258" s="8"/>
      <c r="F258" s="8"/>
      <c r="G258" s="8"/>
      <c r="H258" s="8"/>
      <c r="I258" s="8"/>
      <c r="J258" s="14"/>
    </row>
    <row r="259" ht="12.75" customHeight="1">
      <c r="A259" s="8"/>
      <c r="B259" s="74"/>
      <c r="C259" s="8"/>
      <c r="D259" s="14"/>
      <c r="E259" s="8"/>
      <c r="F259" s="8"/>
      <c r="G259" s="8"/>
      <c r="H259" s="8"/>
      <c r="I259" s="8"/>
      <c r="J259" s="14"/>
    </row>
    <row r="260" ht="12.75" customHeight="1">
      <c r="A260" s="8"/>
      <c r="B260" s="74"/>
      <c r="C260" s="8"/>
      <c r="D260" s="14"/>
      <c r="E260" s="8"/>
      <c r="F260" s="8"/>
      <c r="G260" s="8"/>
      <c r="H260" s="8"/>
      <c r="I260" s="8"/>
      <c r="J260" s="14"/>
    </row>
    <row r="261" ht="12.75" customHeight="1">
      <c r="A261" s="8"/>
      <c r="B261" s="74"/>
      <c r="C261" s="8"/>
      <c r="D261" s="14"/>
      <c r="E261" s="8"/>
      <c r="F261" s="8"/>
      <c r="G261" s="8"/>
      <c r="H261" s="8"/>
      <c r="I261" s="8"/>
      <c r="J261" s="14"/>
    </row>
    <row r="262" ht="12.75" customHeight="1">
      <c r="A262" s="8"/>
      <c r="B262" s="74"/>
      <c r="C262" s="8"/>
      <c r="D262" s="14"/>
      <c r="E262" s="8"/>
      <c r="F262" s="8"/>
      <c r="G262" s="8"/>
      <c r="H262" s="8"/>
      <c r="I262" s="8"/>
      <c r="J262" s="14"/>
    </row>
    <row r="263" ht="12.75" customHeight="1">
      <c r="A263" s="8"/>
      <c r="B263" s="74"/>
      <c r="C263" s="8"/>
      <c r="D263" s="14"/>
      <c r="E263" s="8"/>
      <c r="F263" s="8"/>
      <c r="G263" s="8"/>
      <c r="H263" s="8"/>
      <c r="I263" s="8"/>
      <c r="J263" s="14"/>
    </row>
    <row r="264" ht="12.75" customHeight="1">
      <c r="A264" s="8"/>
      <c r="B264" s="74"/>
      <c r="C264" s="8"/>
      <c r="D264" s="14"/>
      <c r="E264" s="8"/>
      <c r="F264" s="8"/>
      <c r="G264" s="8"/>
      <c r="H264" s="8"/>
      <c r="I264" s="8"/>
      <c r="J264" s="14"/>
    </row>
    <row r="265" ht="12.75" customHeight="1">
      <c r="A265" s="8"/>
      <c r="B265" s="74"/>
      <c r="C265" s="8"/>
      <c r="D265" s="14"/>
      <c r="E265" s="8"/>
      <c r="F265" s="8"/>
      <c r="G265" s="8"/>
      <c r="H265" s="8"/>
      <c r="I265" s="8"/>
      <c r="J265" s="14"/>
    </row>
    <row r="266" ht="12.75" customHeight="1">
      <c r="A266" s="8"/>
      <c r="B266" s="74"/>
      <c r="C266" s="8"/>
      <c r="D266" s="14"/>
      <c r="E266" s="8"/>
      <c r="F266" s="8"/>
      <c r="G266" s="8"/>
      <c r="H266" s="8"/>
      <c r="I266" s="8"/>
      <c r="J266" s="14"/>
    </row>
    <row r="267" ht="12.75" customHeight="1">
      <c r="A267" s="8"/>
      <c r="B267" s="74"/>
      <c r="C267" s="8"/>
      <c r="D267" s="14"/>
      <c r="E267" s="8"/>
      <c r="F267" s="8"/>
      <c r="G267" s="8"/>
      <c r="H267" s="8"/>
      <c r="I267" s="8"/>
      <c r="J267" s="14"/>
    </row>
    <row r="268" ht="12.75" customHeight="1">
      <c r="A268" s="8"/>
      <c r="B268" s="74"/>
      <c r="C268" s="8"/>
      <c r="D268" s="14"/>
      <c r="E268" s="8"/>
      <c r="F268" s="8"/>
      <c r="G268" s="8"/>
      <c r="H268" s="8"/>
      <c r="I268" s="8"/>
      <c r="J268" s="14"/>
    </row>
    <row r="269" ht="12.75" customHeight="1">
      <c r="A269" s="8"/>
      <c r="B269" s="74"/>
      <c r="C269" s="8"/>
      <c r="D269" s="14"/>
      <c r="E269" s="8"/>
      <c r="F269" s="8"/>
      <c r="G269" s="8"/>
      <c r="H269" s="8"/>
      <c r="I269" s="8"/>
      <c r="J269" s="14"/>
    </row>
    <row r="270" ht="12.75" customHeight="1">
      <c r="A270" s="8"/>
      <c r="B270" s="74"/>
      <c r="C270" s="8"/>
      <c r="D270" s="14"/>
      <c r="E270" s="8"/>
      <c r="F270" s="8"/>
      <c r="G270" s="8"/>
      <c r="H270" s="8"/>
      <c r="I270" s="8"/>
      <c r="J270" s="14"/>
    </row>
    <row r="271" ht="12.75" customHeight="1">
      <c r="A271" s="8"/>
      <c r="B271" s="74"/>
      <c r="C271" s="8"/>
      <c r="D271" s="14"/>
      <c r="E271" s="8"/>
      <c r="F271" s="8"/>
      <c r="G271" s="8"/>
      <c r="H271" s="8"/>
      <c r="I271" s="8"/>
      <c r="J271" s="14"/>
    </row>
    <row r="272" ht="12.75" customHeight="1">
      <c r="A272" s="8"/>
      <c r="B272" s="74"/>
      <c r="C272" s="8"/>
      <c r="D272" s="14"/>
      <c r="E272" s="8"/>
      <c r="F272" s="8"/>
      <c r="G272" s="8"/>
      <c r="H272" s="8"/>
      <c r="I272" s="8"/>
      <c r="J272" s="14"/>
    </row>
    <row r="273" ht="12.75" customHeight="1">
      <c r="A273" s="8"/>
      <c r="B273" s="74"/>
      <c r="C273" s="8"/>
      <c r="D273" s="14"/>
      <c r="E273" s="8"/>
      <c r="F273" s="8"/>
      <c r="G273" s="8"/>
      <c r="H273" s="8"/>
      <c r="I273" s="8"/>
      <c r="J273" s="14"/>
    </row>
    <row r="274" ht="12.75" customHeight="1">
      <c r="A274" s="8"/>
      <c r="B274" s="74"/>
      <c r="C274" s="8"/>
      <c r="D274" s="14"/>
      <c r="E274" s="8"/>
      <c r="F274" s="8"/>
      <c r="G274" s="8"/>
      <c r="H274" s="8"/>
      <c r="I274" s="8"/>
      <c r="J274" s="14"/>
    </row>
    <row r="275" ht="12.75" customHeight="1">
      <c r="A275" s="8"/>
      <c r="B275" s="74"/>
      <c r="C275" s="8"/>
      <c r="D275" s="14"/>
      <c r="E275" s="8"/>
      <c r="F275" s="8"/>
      <c r="G275" s="8"/>
      <c r="H275" s="8"/>
      <c r="I275" s="8"/>
      <c r="J275" s="14"/>
    </row>
    <row r="276" ht="12.75" customHeight="1">
      <c r="A276" s="8"/>
      <c r="B276" s="74"/>
      <c r="C276" s="8"/>
      <c r="D276" s="14"/>
      <c r="E276" s="8"/>
      <c r="F276" s="8"/>
      <c r="G276" s="8"/>
      <c r="H276" s="8"/>
      <c r="I276" s="8"/>
      <c r="J276" s="14"/>
    </row>
    <row r="277" ht="12.75" customHeight="1">
      <c r="A277" s="8"/>
      <c r="B277" s="74"/>
      <c r="C277" s="8"/>
      <c r="D277" s="14"/>
      <c r="E277" s="8"/>
      <c r="F277" s="8"/>
      <c r="G277" s="8"/>
      <c r="H277" s="8"/>
      <c r="I277" s="8"/>
      <c r="J277" s="14"/>
    </row>
    <row r="278" ht="12.75" customHeight="1">
      <c r="A278" s="8"/>
      <c r="B278" s="74"/>
      <c r="C278" s="8"/>
      <c r="D278" s="14"/>
      <c r="E278" s="8"/>
      <c r="F278" s="8"/>
      <c r="G278" s="8"/>
      <c r="H278" s="8"/>
      <c r="I278" s="8"/>
      <c r="J278" s="14"/>
    </row>
    <row r="279" ht="12.75" customHeight="1">
      <c r="A279" s="8"/>
      <c r="B279" s="74"/>
      <c r="C279" s="8"/>
      <c r="D279" s="14"/>
      <c r="E279" s="8"/>
      <c r="F279" s="8"/>
      <c r="G279" s="8"/>
      <c r="H279" s="8"/>
      <c r="I279" s="8"/>
      <c r="J279" s="14"/>
    </row>
    <row r="280" ht="12.75" customHeight="1">
      <c r="A280" s="8"/>
      <c r="B280" s="74"/>
      <c r="C280" s="8"/>
      <c r="D280" s="14"/>
      <c r="E280" s="8"/>
      <c r="F280" s="8"/>
      <c r="G280" s="8"/>
      <c r="H280" s="8"/>
      <c r="I280" s="8"/>
      <c r="J280" s="14"/>
    </row>
    <row r="281" ht="12.75" customHeight="1">
      <c r="A281" s="8"/>
      <c r="B281" s="74"/>
      <c r="C281" s="8"/>
      <c r="D281" s="14"/>
      <c r="E281" s="8"/>
      <c r="F281" s="8"/>
      <c r="G281" s="8"/>
      <c r="H281" s="8"/>
      <c r="I281" s="8"/>
      <c r="J281" s="14"/>
    </row>
    <row r="282" ht="12.75" customHeight="1">
      <c r="A282" s="8"/>
      <c r="B282" s="74"/>
      <c r="C282" s="8"/>
      <c r="D282" s="14"/>
      <c r="E282" s="8"/>
      <c r="F282" s="8"/>
      <c r="G282" s="8"/>
      <c r="H282" s="8"/>
      <c r="I282" s="8"/>
      <c r="J282" s="14"/>
    </row>
    <row r="283" ht="12.75" customHeight="1">
      <c r="A283" s="8"/>
      <c r="B283" s="74"/>
      <c r="C283" s="8"/>
      <c r="D283" s="14"/>
      <c r="E283" s="8"/>
      <c r="F283" s="8"/>
      <c r="G283" s="8"/>
      <c r="H283" s="8"/>
      <c r="I283" s="8"/>
      <c r="J283" s="14"/>
    </row>
    <row r="284" ht="12.75" customHeight="1">
      <c r="A284" s="8"/>
      <c r="B284" s="74"/>
      <c r="C284" s="8"/>
      <c r="D284" s="14"/>
      <c r="E284" s="8"/>
      <c r="F284" s="8"/>
      <c r="G284" s="8"/>
      <c r="H284" s="8"/>
      <c r="I284" s="8"/>
      <c r="J284" s="14"/>
    </row>
    <row r="285" ht="12.75" customHeight="1">
      <c r="A285" s="8"/>
      <c r="B285" s="74"/>
      <c r="C285" s="8"/>
      <c r="D285" s="14"/>
      <c r="E285" s="8"/>
      <c r="F285" s="8"/>
      <c r="G285" s="8"/>
      <c r="H285" s="8"/>
      <c r="I285" s="8"/>
      <c r="J285" s="14"/>
    </row>
    <row r="286" ht="12.75" customHeight="1">
      <c r="A286" s="8"/>
      <c r="B286" s="74"/>
      <c r="C286" s="8"/>
      <c r="D286" s="14"/>
      <c r="E286" s="8"/>
      <c r="F286" s="8"/>
      <c r="G286" s="8"/>
      <c r="H286" s="8"/>
      <c r="I286" s="8"/>
      <c r="J286" s="14"/>
    </row>
    <row r="287" ht="12.75" customHeight="1">
      <c r="A287" s="8"/>
      <c r="B287" s="74"/>
      <c r="C287" s="8"/>
      <c r="D287" s="14"/>
      <c r="E287" s="8"/>
      <c r="F287" s="8"/>
      <c r="G287" s="8"/>
      <c r="H287" s="8"/>
      <c r="I287" s="8"/>
      <c r="J287" s="14"/>
    </row>
    <row r="288" ht="12.75" customHeight="1">
      <c r="A288" s="8"/>
      <c r="B288" s="74"/>
      <c r="C288" s="8"/>
      <c r="D288" s="14"/>
      <c r="E288" s="8"/>
      <c r="F288" s="8"/>
      <c r="G288" s="8"/>
      <c r="H288" s="8"/>
      <c r="I288" s="8"/>
      <c r="J288" s="14"/>
    </row>
    <row r="289" ht="12.75" customHeight="1">
      <c r="A289" s="8"/>
      <c r="B289" s="74"/>
      <c r="C289" s="8"/>
      <c r="D289" s="14"/>
      <c r="E289" s="8"/>
      <c r="F289" s="8"/>
      <c r="G289" s="8"/>
      <c r="H289" s="8"/>
      <c r="I289" s="8"/>
      <c r="J289" s="14"/>
    </row>
    <row r="290" ht="12.75" customHeight="1">
      <c r="A290" s="8"/>
      <c r="B290" s="74"/>
      <c r="C290" s="8"/>
      <c r="D290" s="14"/>
      <c r="E290" s="8"/>
      <c r="F290" s="8"/>
      <c r="G290" s="8"/>
      <c r="H290" s="8"/>
      <c r="I290" s="8"/>
      <c r="J290" s="14"/>
    </row>
    <row r="291" ht="12.75" customHeight="1">
      <c r="A291" s="8"/>
      <c r="B291" s="74"/>
      <c r="C291" s="8"/>
      <c r="D291" s="14"/>
      <c r="E291" s="8"/>
      <c r="F291" s="8"/>
      <c r="G291" s="8"/>
      <c r="H291" s="8"/>
      <c r="I291" s="8"/>
      <c r="J291" s="14"/>
    </row>
    <row r="292" ht="12.75" customHeight="1">
      <c r="A292" s="8"/>
      <c r="B292" s="74"/>
      <c r="C292" s="8"/>
      <c r="D292" s="14"/>
      <c r="E292" s="8"/>
      <c r="F292" s="8"/>
      <c r="G292" s="8"/>
      <c r="H292" s="8"/>
      <c r="I292" s="8"/>
      <c r="J292" s="14"/>
    </row>
    <row r="293" ht="12.75" customHeight="1">
      <c r="A293" s="8"/>
      <c r="B293" s="74"/>
      <c r="C293" s="8"/>
      <c r="D293" s="14"/>
      <c r="E293" s="8"/>
      <c r="F293" s="8"/>
      <c r="G293" s="8"/>
      <c r="H293" s="8"/>
      <c r="I293" s="8"/>
      <c r="J293" s="14"/>
    </row>
    <row r="294" ht="12.75" customHeight="1">
      <c r="A294" s="8"/>
      <c r="B294" s="74"/>
      <c r="C294" s="8"/>
      <c r="D294" s="14"/>
      <c r="E294" s="8"/>
      <c r="F294" s="8"/>
      <c r="G294" s="8"/>
      <c r="H294" s="8"/>
      <c r="I294" s="8"/>
      <c r="J294" s="14"/>
    </row>
    <row r="295" ht="12.75" customHeight="1">
      <c r="A295" s="8"/>
      <c r="B295" s="74"/>
      <c r="C295" s="8"/>
      <c r="D295" s="14"/>
      <c r="E295" s="8"/>
      <c r="F295" s="8"/>
      <c r="G295" s="8"/>
      <c r="H295" s="8"/>
      <c r="I295" s="8"/>
      <c r="J295" s="14"/>
    </row>
    <row r="296" ht="12.75" customHeight="1">
      <c r="A296" s="8"/>
      <c r="B296" s="74"/>
      <c r="C296" s="8"/>
      <c r="D296" s="14"/>
      <c r="E296" s="8"/>
      <c r="F296" s="8"/>
      <c r="G296" s="8"/>
      <c r="H296" s="8"/>
      <c r="I296" s="8"/>
      <c r="J296" s="14"/>
    </row>
    <row r="297" ht="12.75" customHeight="1">
      <c r="A297" s="8"/>
      <c r="B297" s="74"/>
      <c r="C297" s="8"/>
      <c r="D297" s="14"/>
      <c r="E297" s="8"/>
      <c r="F297" s="8"/>
      <c r="G297" s="8"/>
      <c r="H297" s="8"/>
      <c r="I297" s="8"/>
      <c r="J297" s="14"/>
    </row>
    <row r="298" ht="12.75" customHeight="1">
      <c r="A298" s="8"/>
      <c r="B298" s="74"/>
      <c r="C298" s="8"/>
      <c r="D298" s="14"/>
      <c r="E298" s="8"/>
      <c r="F298" s="8"/>
      <c r="G298" s="8"/>
      <c r="H298" s="8"/>
      <c r="I298" s="8"/>
      <c r="J298" s="14"/>
    </row>
    <row r="299" ht="12.75" customHeight="1">
      <c r="A299" s="8"/>
      <c r="B299" s="74"/>
      <c r="C299" s="8"/>
      <c r="D299" s="14"/>
      <c r="E299" s="8"/>
      <c r="F299" s="8"/>
      <c r="G299" s="8"/>
      <c r="H299" s="8"/>
      <c r="I299" s="8"/>
      <c r="J299" s="14"/>
    </row>
    <row r="300" ht="12.75" customHeight="1">
      <c r="A300" s="8"/>
      <c r="B300" s="74"/>
      <c r="C300" s="8"/>
      <c r="D300" s="14"/>
      <c r="E300" s="8"/>
      <c r="F300" s="8"/>
      <c r="G300" s="8"/>
      <c r="H300" s="8"/>
      <c r="I300" s="8"/>
      <c r="J300" s="14"/>
    </row>
    <row r="301" ht="12.75" customHeight="1">
      <c r="A301" s="8"/>
      <c r="B301" s="74"/>
      <c r="C301" s="8"/>
      <c r="D301" s="14"/>
      <c r="E301" s="8"/>
      <c r="F301" s="8"/>
      <c r="G301" s="8"/>
      <c r="H301" s="8"/>
      <c r="I301" s="8"/>
      <c r="J301" s="14"/>
    </row>
    <row r="302" ht="12.75" customHeight="1">
      <c r="A302" s="8"/>
      <c r="B302" s="74"/>
      <c r="C302" s="8"/>
      <c r="D302" s="14"/>
      <c r="E302" s="8"/>
      <c r="F302" s="8"/>
      <c r="G302" s="8"/>
      <c r="H302" s="8"/>
      <c r="I302" s="8"/>
      <c r="J302" s="14"/>
    </row>
    <row r="303" ht="12.75" customHeight="1">
      <c r="A303" s="8"/>
      <c r="B303" s="74"/>
      <c r="C303" s="8"/>
      <c r="D303" s="14"/>
      <c r="E303" s="8"/>
      <c r="F303" s="8"/>
      <c r="G303" s="8"/>
      <c r="H303" s="8"/>
      <c r="I303" s="8"/>
      <c r="J303" s="14"/>
    </row>
    <row r="304" ht="12.75" customHeight="1">
      <c r="A304" s="8"/>
      <c r="B304" s="74"/>
      <c r="C304" s="8"/>
      <c r="D304" s="14"/>
      <c r="E304" s="8"/>
      <c r="F304" s="8"/>
      <c r="G304" s="8"/>
      <c r="H304" s="8"/>
      <c r="I304" s="8"/>
      <c r="J304" s="14"/>
    </row>
    <row r="305" ht="12.75" customHeight="1">
      <c r="A305" s="8"/>
      <c r="B305" s="74"/>
      <c r="C305" s="8"/>
      <c r="D305" s="14"/>
      <c r="E305" s="8"/>
      <c r="F305" s="8"/>
      <c r="G305" s="8"/>
      <c r="H305" s="8"/>
      <c r="I305" s="8"/>
      <c r="J305" s="14"/>
    </row>
    <row r="306" ht="12.75" customHeight="1">
      <c r="A306" s="8"/>
      <c r="B306" s="74"/>
      <c r="C306" s="8"/>
      <c r="D306" s="14"/>
      <c r="E306" s="8"/>
      <c r="F306" s="8"/>
      <c r="G306" s="8"/>
      <c r="H306" s="8"/>
      <c r="I306" s="8"/>
      <c r="J306" s="14"/>
    </row>
    <row r="307" ht="12.75" customHeight="1">
      <c r="A307" s="8"/>
      <c r="B307" s="74"/>
      <c r="C307" s="8"/>
      <c r="D307" s="14"/>
      <c r="E307" s="8"/>
      <c r="F307" s="8"/>
      <c r="G307" s="8"/>
      <c r="H307" s="8"/>
      <c r="I307" s="8"/>
      <c r="J307" s="14"/>
    </row>
    <row r="308" ht="12.75" customHeight="1">
      <c r="A308" s="8"/>
      <c r="B308" s="74"/>
      <c r="C308" s="8"/>
      <c r="D308" s="14"/>
      <c r="E308" s="8"/>
      <c r="F308" s="8"/>
      <c r="G308" s="8"/>
      <c r="H308" s="8"/>
      <c r="I308" s="8"/>
      <c r="J308" s="14"/>
    </row>
    <row r="309" ht="12.75" customHeight="1">
      <c r="A309" s="8"/>
      <c r="B309" s="74"/>
      <c r="C309" s="8"/>
      <c r="D309" s="14"/>
      <c r="E309" s="8"/>
      <c r="F309" s="8"/>
      <c r="G309" s="8"/>
      <c r="H309" s="8"/>
      <c r="I309" s="8"/>
      <c r="J309" s="14"/>
    </row>
    <row r="310" ht="12.75" customHeight="1">
      <c r="A310" s="8"/>
      <c r="B310" s="74"/>
      <c r="C310" s="8"/>
      <c r="D310" s="14"/>
      <c r="E310" s="8"/>
      <c r="F310" s="8"/>
      <c r="G310" s="8"/>
      <c r="H310" s="8"/>
      <c r="I310" s="8"/>
      <c r="J310" s="14"/>
    </row>
    <row r="311" ht="12.75" customHeight="1">
      <c r="A311" s="8"/>
      <c r="B311" s="74"/>
      <c r="C311" s="8"/>
      <c r="D311" s="14"/>
      <c r="E311" s="8"/>
      <c r="F311" s="8"/>
      <c r="G311" s="8"/>
      <c r="H311" s="8"/>
      <c r="I311" s="8"/>
      <c r="J311" s="14"/>
    </row>
    <row r="312" ht="12.75" customHeight="1">
      <c r="A312" s="8"/>
      <c r="B312" s="74"/>
      <c r="C312" s="8"/>
      <c r="D312" s="14"/>
      <c r="E312" s="8"/>
      <c r="F312" s="8"/>
      <c r="G312" s="8"/>
      <c r="H312" s="8"/>
      <c r="I312" s="8"/>
      <c r="J312" s="14"/>
    </row>
    <row r="313" ht="12.75" customHeight="1">
      <c r="A313" s="8"/>
      <c r="B313" s="74"/>
      <c r="C313" s="8"/>
      <c r="D313" s="14"/>
      <c r="E313" s="8"/>
      <c r="F313" s="8"/>
      <c r="G313" s="8"/>
      <c r="H313" s="8"/>
      <c r="I313" s="8"/>
      <c r="J313" s="14"/>
    </row>
    <row r="314" ht="12.75" customHeight="1">
      <c r="A314" s="8"/>
      <c r="B314" s="74"/>
      <c r="C314" s="8"/>
      <c r="D314" s="14"/>
      <c r="E314" s="8"/>
      <c r="F314" s="8"/>
      <c r="G314" s="8"/>
      <c r="H314" s="8"/>
      <c r="I314" s="8"/>
      <c r="J314" s="14"/>
    </row>
    <row r="315" ht="12.75" customHeight="1">
      <c r="A315" s="8"/>
      <c r="B315" s="74"/>
      <c r="C315" s="8"/>
      <c r="D315" s="14"/>
      <c r="E315" s="8"/>
      <c r="F315" s="8"/>
      <c r="G315" s="8"/>
      <c r="H315" s="8"/>
      <c r="I315" s="8"/>
      <c r="J315" s="14"/>
    </row>
    <row r="316" ht="12.75" customHeight="1">
      <c r="A316" s="8"/>
      <c r="B316" s="74"/>
      <c r="C316" s="8"/>
      <c r="D316" s="14"/>
      <c r="E316" s="8"/>
      <c r="F316" s="8"/>
      <c r="G316" s="8"/>
      <c r="H316" s="8"/>
      <c r="I316" s="8"/>
      <c r="J316" s="14"/>
    </row>
    <row r="317" ht="12.75" customHeight="1">
      <c r="A317" s="8"/>
      <c r="B317" s="74"/>
      <c r="C317" s="8"/>
      <c r="D317" s="14"/>
      <c r="E317" s="8"/>
      <c r="F317" s="8"/>
      <c r="G317" s="8"/>
      <c r="H317" s="8"/>
      <c r="I317" s="8"/>
      <c r="J317" s="14"/>
    </row>
    <row r="318" ht="12.75" customHeight="1">
      <c r="A318" s="8"/>
      <c r="B318" s="74"/>
      <c r="C318" s="8"/>
      <c r="D318" s="14"/>
      <c r="E318" s="8"/>
      <c r="F318" s="8"/>
      <c r="G318" s="8"/>
      <c r="H318" s="8"/>
      <c r="I318" s="8"/>
      <c r="J318" s="14"/>
    </row>
    <row r="319" ht="12.75" customHeight="1">
      <c r="A319" s="8"/>
      <c r="B319" s="74"/>
      <c r="C319" s="8"/>
      <c r="D319" s="14"/>
      <c r="E319" s="8"/>
      <c r="F319" s="8"/>
      <c r="G319" s="8"/>
      <c r="H319" s="8"/>
      <c r="I319" s="8"/>
      <c r="J319" s="14"/>
    </row>
    <row r="320" ht="12.75" customHeight="1">
      <c r="A320" s="8"/>
      <c r="B320" s="74"/>
      <c r="C320" s="8"/>
      <c r="D320" s="14"/>
      <c r="E320" s="8"/>
      <c r="F320" s="8"/>
      <c r="G320" s="8"/>
      <c r="H320" s="8"/>
      <c r="I320" s="8"/>
      <c r="J320" s="14"/>
    </row>
    <row r="321" ht="12.75" customHeight="1">
      <c r="A321" s="8"/>
      <c r="B321" s="74"/>
      <c r="C321" s="8"/>
      <c r="D321" s="14"/>
      <c r="E321" s="8"/>
      <c r="F321" s="8"/>
      <c r="G321" s="8"/>
      <c r="H321" s="8"/>
      <c r="I321" s="8"/>
      <c r="J321" s="14"/>
    </row>
    <row r="322" ht="12.75" customHeight="1">
      <c r="A322" s="8"/>
      <c r="B322" s="74"/>
      <c r="C322" s="8"/>
      <c r="D322" s="14"/>
      <c r="E322" s="8"/>
      <c r="F322" s="8"/>
      <c r="G322" s="8"/>
      <c r="H322" s="8"/>
      <c r="I322" s="8"/>
      <c r="J322" s="14"/>
    </row>
    <row r="323" ht="12.75" customHeight="1">
      <c r="A323" s="8"/>
      <c r="B323" s="74"/>
      <c r="C323" s="8"/>
      <c r="D323" s="14"/>
      <c r="E323" s="8"/>
      <c r="F323" s="8"/>
      <c r="G323" s="8"/>
      <c r="H323" s="8"/>
      <c r="I323" s="8"/>
      <c r="J323" s="14"/>
    </row>
    <row r="324" ht="12.75" customHeight="1">
      <c r="A324" s="8"/>
      <c r="B324" s="74"/>
      <c r="C324" s="8"/>
      <c r="D324" s="14"/>
      <c r="E324" s="8"/>
      <c r="F324" s="8"/>
      <c r="G324" s="8"/>
      <c r="H324" s="8"/>
      <c r="I324" s="8"/>
      <c r="J324" s="14"/>
    </row>
    <row r="325" ht="12.75" customHeight="1">
      <c r="A325" s="8"/>
      <c r="B325" s="74"/>
      <c r="C325" s="8"/>
      <c r="D325" s="14"/>
      <c r="E325" s="8"/>
      <c r="F325" s="8"/>
      <c r="G325" s="8"/>
      <c r="H325" s="8"/>
      <c r="I325" s="8"/>
      <c r="J325" s="14"/>
    </row>
    <row r="326" ht="12.75" customHeight="1">
      <c r="A326" s="8"/>
      <c r="B326" s="74"/>
      <c r="C326" s="8"/>
      <c r="D326" s="14"/>
      <c r="E326" s="8"/>
      <c r="F326" s="8"/>
      <c r="G326" s="8"/>
      <c r="H326" s="8"/>
      <c r="I326" s="8"/>
      <c r="J326" s="14"/>
    </row>
    <row r="327" ht="12.75" customHeight="1">
      <c r="A327" s="8"/>
      <c r="B327" s="74"/>
      <c r="C327" s="8"/>
      <c r="D327" s="14"/>
      <c r="E327" s="8"/>
      <c r="F327" s="8"/>
      <c r="G327" s="8"/>
      <c r="H327" s="8"/>
      <c r="I327" s="8"/>
      <c r="J327" s="14"/>
    </row>
    <row r="328" ht="12.75" customHeight="1">
      <c r="A328" s="8"/>
      <c r="B328" s="74"/>
      <c r="C328" s="8"/>
      <c r="D328" s="14"/>
      <c r="E328" s="8"/>
      <c r="F328" s="8"/>
      <c r="G328" s="8"/>
      <c r="H328" s="8"/>
      <c r="I328" s="8"/>
      <c r="J328" s="14"/>
    </row>
    <row r="329" ht="12.75" customHeight="1">
      <c r="A329" s="8"/>
      <c r="B329" s="74"/>
      <c r="C329" s="8"/>
      <c r="D329" s="14"/>
      <c r="E329" s="8"/>
      <c r="F329" s="8"/>
      <c r="G329" s="8"/>
      <c r="H329" s="8"/>
      <c r="I329" s="8"/>
      <c r="J329" s="14"/>
    </row>
    <row r="330" ht="12.75" customHeight="1">
      <c r="A330" s="8"/>
      <c r="B330" s="74"/>
      <c r="C330" s="8"/>
      <c r="D330" s="14"/>
      <c r="E330" s="8"/>
      <c r="F330" s="8"/>
      <c r="G330" s="8"/>
      <c r="H330" s="8"/>
      <c r="I330" s="8"/>
      <c r="J330" s="14"/>
    </row>
    <row r="331" ht="12.75" customHeight="1">
      <c r="A331" s="8"/>
      <c r="B331" s="74"/>
      <c r="C331" s="8"/>
      <c r="D331" s="14"/>
      <c r="E331" s="8"/>
      <c r="F331" s="8"/>
      <c r="G331" s="8"/>
      <c r="H331" s="8"/>
      <c r="I331" s="8"/>
      <c r="J331" s="14"/>
    </row>
    <row r="332" ht="12.75" customHeight="1">
      <c r="A332" s="8"/>
      <c r="B332" s="74"/>
      <c r="C332" s="8"/>
      <c r="D332" s="14"/>
      <c r="E332" s="8"/>
      <c r="F332" s="8"/>
      <c r="G332" s="8"/>
      <c r="H332" s="8"/>
      <c r="I332" s="8"/>
      <c r="J332" s="14"/>
    </row>
    <row r="333" ht="12.75" customHeight="1">
      <c r="A333" s="8"/>
      <c r="B333" s="74"/>
      <c r="C333" s="8"/>
      <c r="D333" s="14"/>
      <c r="E333" s="8"/>
      <c r="F333" s="8"/>
      <c r="G333" s="8"/>
      <c r="H333" s="8"/>
      <c r="I333" s="8"/>
      <c r="J333" s="14"/>
    </row>
    <row r="334" ht="12.75" customHeight="1">
      <c r="A334" s="8"/>
      <c r="B334" s="74"/>
      <c r="C334" s="8"/>
      <c r="D334" s="14"/>
      <c r="E334" s="8"/>
      <c r="F334" s="8"/>
      <c r="G334" s="8"/>
      <c r="H334" s="8"/>
      <c r="I334" s="8"/>
      <c r="J334" s="14"/>
    </row>
    <row r="335" ht="12.75" customHeight="1">
      <c r="A335" s="8"/>
      <c r="B335" s="74"/>
      <c r="C335" s="8"/>
      <c r="D335" s="14"/>
      <c r="E335" s="8"/>
      <c r="F335" s="8"/>
      <c r="G335" s="8"/>
      <c r="H335" s="8"/>
      <c r="I335" s="8"/>
      <c r="J335" s="14"/>
    </row>
    <row r="336" ht="12.75" customHeight="1">
      <c r="A336" s="8"/>
      <c r="B336" s="74"/>
      <c r="C336" s="8"/>
      <c r="D336" s="14"/>
      <c r="E336" s="8"/>
      <c r="F336" s="8"/>
      <c r="G336" s="8"/>
      <c r="H336" s="8"/>
      <c r="I336" s="8"/>
      <c r="J336" s="14"/>
    </row>
    <row r="337" ht="12.75" customHeight="1">
      <c r="A337" s="8"/>
      <c r="B337" s="74"/>
      <c r="C337" s="8"/>
      <c r="D337" s="14"/>
      <c r="E337" s="8"/>
      <c r="F337" s="8"/>
      <c r="G337" s="8"/>
      <c r="H337" s="8"/>
      <c r="I337" s="8"/>
      <c r="J337" s="14"/>
    </row>
    <row r="338" ht="12.75" customHeight="1">
      <c r="A338" s="8"/>
      <c r="B338" s="74"/>
      <c r="C338" s="8"/>
      <c r="D338" s="14"/>
      <c r="E338" s="8"/>
      <c r="F338" s="8"/>
      <c r="G338" s="8"/>
      <c r="H338" s="8"/>
      <c r="I338" s="8"/>
      <c r="J338" s="14"/>
    </row>
    <row r="339" ht="12.75" customHeight="1">
      <c r="A339" s="8"/>
      <c r="B339" s="74"/>
      <c r="C339" s="8"/>
      <c r="D339" s="14"/>
      <c r="E339" s="8"/>
      <c r="F339" s="8"/>
      <c r="G339" s="8"/>
      <c r="H339" s="8"/>
      <c r="I339" s="8"/>
      <c r="J339" s="14"/>
    </row>
    <row r="340" ht="12.75" customHeight="1">
      <c r="A340" s="8"/>
      <c r="B340" s="74"/>
      <c r="C340" s="8"/>
      <c r="D340" s="14"/>
      <c r="E340" s="8"/>
      <c r="F340" s="8"/>
      <c r="G340" s="8"/>
      <c r="H340" s="8"/>
      <c r="I340" s="8"/>
      <c r="J340" s="14"/>
    </row>
    <row r="341" ht="12.75" customHeight="1">
      <c r="A341" s="8"/>
      <c r="B341" s="74"/>
      <c r="C341" s="8"/>
      <c r="D341" s="14"/>
      <c r="E341" s="8"/>
      <c r="F341" s="8"/>
      <c r="G341" s="8"/>
      <c r="H341" s="8"/>
      <c r="I341" s="8"/>
      <c r="J341" s="14"/>
    </row>
    <row r="342" ht="12.75" customHeight="1">
      <c r="A342" s="8"/>
      <c r="B342" s="74"/>
      <c r="C342" s="8"/>
      <c r="D342" s="14"/>
      <c r="E342" s="8"/>
      <c r="F342" s="8"/>
      <c r="G342" s="8"/>
      <c r="H342" s="8"/>
      <c r="I342" s="8"/>
      <c r="J342" s="14"/>
    </row>
    <row r="343" ht="12.75" customHeight="1">
      <c r="A343" s="8"/>
      <c r="B343" s="74"/>
      <c r="C343" s="8"/>
      <c r="D343" s="14"/>
      <c r="E343" s="8"/>
      <c r="F343" s="8"/>
      <c r="G343" s="8"/>
      <c r="H343" s="8"/>
      <c r="I343" s="8"/>
      <c r="J343" s="14"/>
    </row>
    <row r="344" ht="12.75" customHeight="1">
      <c r="A344" s="8"/>
      <c r="B344" s="74"/>
      <c r="C344" s="8"/>
      <c r="D344" s="14"/>
      <c r="E344" s="8"/>
      <c r="F344" s="8"/>
      <c r="G344" s="8"/>
      <c r="H344" s="8"/>
      <c r="I344" s="8"/>
      <c r="J344" s="14"/>
    </row>
    <row r="345" ht="12.75" customHeight="1">
      <c r="A345" s="8"/>
      <c r="B345" s="74"/>
      <c r="C345" s="8"/>
      <c r="D345" s="14"/>
      <c r="E345" s="8"/>
      <c r="F345" s="8"/>
      <c r="G345" s="8"/>
      <c r="H345" s="8"/>
      <c r="I345" s="8"/>
      <c r="J345" s="14"/>
    </row>
    <row r="346" ht="12.75" customHeight="1">
      <c r="A346" s="8"/>
      <c r="B346" s="74"/>
      <c r="C346" s="8"/>
      <c r="D346" s="14"/>
      <c r="E346" s="8"/>
      <c r="F346" s="8"/>
      <c r="G346" s="8"/>
      <c r="H346" s="8"/>
      <c r="I346" s="8"/>
      <c r="J346" s="14"/>
    </row>
    <row r="347" ht="12.75" customHeight="1">
      <c r="A347" s="8"/>
      <c r="B347" s="74"/>
      <c r="C347" s="8"/>
      <c r="D347" s="14"/>
      <c r="E347" s="8"/>
      <c r="F347" s="8"/>
      <c r="G347" s="8"/>
      <c r="H347" s="8"/>
      <c r="I347" s="8"/>
      <c r="J347" s="14"/>
    </row>
    <row r="348" ht="12.75" customHeight="1">
      <c r="A348" s="8"/>
      <c r="B348" s="74"/>
      <c r="C348" s="8"/>
      <c r="D348" s="14"/>
      <c r="E348" s="8"/>
      <c r="F348" s="8"/>
      <c r="G348" s="8"/>
      <c r="H348" s="8"/>
      <c r="I348" s="8"/>
      <c r="J348" s="14"/>
    </row>
    <row r="349" ht="12.75" customHeight="1">
      <c r="A349" s="8"/>
      <c r="B349" s="74"/>
      <c r="C349" s="8"/>
      <c r="D349" s="14"/>
      <c r="E349" s="8"/>
      <c r="F349" s="8"/>
      <c r="G349" s="8"/>
      <c r="H349" s="8"/>
      <c r="I349" s="8"/>
      <c r="J349" s="14"/>
    </row>
    <row r="350" ht="12.75" customHeight="1">
      <c r="A350" s="8"/>
      <c r="B350" s="74"/>
      <c r="C350" s="8"/>
      <c r="D350" s="14"/>
      <c r="E350" s="8"/>
      <c r="F350" s="8"/>
      <c r="G350" s="8"/>
      <c r="H350" s="8"/>
      <c r="I350" s="8"/>
      <c r="J350" s="14"/>
    </row>
    <row r="351" ht="12.75" customHeight="1">
      <c r="A351" s="8"/>
      <c r="B351" s="74"/>
      <c r="C351" s="8"/>
      <c r="D351" s="14"/>
      <c r="E351" s="8"/>
      <c r="F351" s="8"/>
      <c r="G351" s="8"/>
      <c r="H351" s="8"/>
      <c r="I351" s="8"/>
      <c r="J351" s="14"/>
    </row>
    <row r="352" ht="12.75" customHeight="1">
      <c r="A352" s="8"/>
      <c r="B352" s="74"/>
      <c r="C352" s="8"/>
      <c r="D352" s="14"/>
      <c r="E352" s="8"/>
      <c r="F352" s="8"/>
      <c r="G352" s="8"/>
      <c r="H352" s="8"/>
      <c r="I352" s="8"/>
      <c r="J352" s="14"/>
    </row>
    <row r="353" ht="12.75" customHeight="1">
      <c r="A353" s="8"/>
      <c r="B353" s="74"/>
      <c r="C353" s="8"/>
      <c r="D353" s="14"/>
      <c r="E353" s="8"/>
      <c r="F353" s="8"/>
      <c r="G353" s="8"/>
      <c r="H353" s="8"/>
      <c r="I353" s="8"/>
      <c r="J353" s="14"/>
    </row>
    <row r="354" ht="12.75" customHeight="1">
      <c r="A354" s="8"/>
      <c r="B354" s="74"/>
      <c r="C354" s="8"/>
      <c r="D354" s="14"/>
      <c r="E354" s="8"/>
      <c r="F354" s="8"/>
      <c r="G354" s="8"/>
      <c r="H354" s="8"/>
      <c r="I354" s="8"/>
      <c r="J354" s="14"/>
    </row>
    <row r="355" ht="12.75" customHeight="1">
      <c r="A355" s="8"/>
      <c r="B355" s="74"/>
      <c r="C355" s="8"/>
      <c r="D355" s="14"/>
      <c r="E355" s="8"/>
      <c r="F355" s="8"/>
      <c r="G355" s="8"/>
      <c r="H355" s="8"/>
      <c r="I355" s="8"/>
      <c r="J355" s="14"/>
    </row>
    <row r="356" ht="12.75" customHeight="1">
      <c r="A356" s="8"/>
      <c r="B356" s="74"/>
      <c r="C356" s="8"/>
      <c r="D356" s="14"/>
      <c r="E356" s="8"/>
      <c r="F356" s="8"/>
      <c r="G356" s="8"/>
      <c r="H356" s="8"/>
      <c r="I356" s="8"/>
      <c r="J356" s="14"/>
    </row>
    <row r="357" ht="12.75" customHeight="1">
      <c r="A357" s="8"/>
      <c r="B357" s="74"/>
      <c r="C357" s="8"/>
      <c r="D357" s="14"/>
      <c r="E357" s="8"/>
      <c r="F357" s="8"/>
      <c r="G357" s="8"/>
      <c r="H357" s="8"/>
      <c r="I357" s="8"/>
      <c r="J357" s="14"/>
    </row>
    <row r="358" ht="12.75" customHeight="1">
      <c r="A358" s="8"/>
      <c r="B358" s="74"/>
      <c r="C358" s="8"/>
      <c r="D358" s="14"/>
      <c r="E358" s="8"/>
      <c r="F358" s="8"/>
      <c r="G358" s="8"/>
      <c r="H358" s="8"/>
      <c r="I358" s="8"/>
      <c r="J358" s="14"/>
    </row>
    <row r="359" ht="12.75" customHeight="1">
      <c r="A359" s="8"/>
      <c r="B359" s="74"/>
      <c r="C359" s="8"/>
      <c r="D359" s="14"/>
      <c r="E359" s="8"/>
      <c r="F359" s="8"/>
      <c r="G359" s="8"/>
      <c r="H359" s="8"/>
      <c r="I359" s="8"/>
      <c r="J359" s="14"/>
    </row>
    <row r="360" ht="12.75" customHeight="1">
      <c r="A360" s="8"/>
      <c r="B360" s="74"/>
      <c r="C360" s="8"/>
      <c r="D360" s="14"/>
      <c r="E360" s="8"/>
      <c r="F360" s="8"/>
      <c r="G360" s="8"/>
      <c r="H360" s="8"/>
      <c r="I360" s="8"/>
      <c r="J360" s="14"/>
    </row>
    <row r="361" ht="12.75" customHeight="1">
      <c r="A361" s="8"/>
      <c r="B361" s="74"/>
      <c r="C361" s="8"/>
      <c r="D361" s="14"/>
      <c r="E361" s="8"/>
      <c r="F361" s="8"/>
      <c r="G361" s="8"/>
      <c r="H361" s="8"/>
      <c r="I361" s="8"/>
      <c r="J361" s="14"/>
    </row>
    <row r="362" ht="12.75" customHeight="1">
      <c r="A362" s="8"/>
      <c r="B362" s="74"/>
      <c r="C362" s="8"/>
      <c r="D362" s="14"/>
      <c r="E362" s="8"/>
      <c r="F362" s="8"/>
      <c r="G362" s="8"/>
      <c r="H362" s="8"/>
      <c r="I362" s="8"/>
      <c r="J362" s="14"/>
    </row>
    <row r="363" ht="12.75" customHeight="1">
      <c r="A363" s="8"/>
      <c r="B363" s="74"/>
      <c r="C363" s="8"/>
      <c r="D363" s="14"/>
      <c r="E363" s="8"/>
      <c r="F363" s="8"/>
      <c r="G363" s="8"/>
      <c r="H363" s="8"/>
      <c r="I363" s="8"/>
      <c r="J363" s="14"/>
    </row>
    <row r="364" ht="12.75" customHeight="1">
      <c r="A364" s="8"/>
      <c r="B364" s="74"/>
      <c r="C364" s="8"/>
      <c r="D364" s="14"/>
      <c r="E364" s="8"/>
      <c r="F364" s="8"/>
      <c r="G364" s="8"/>
      <c r="H364" s="8"/>
      <c r="I364" s="8"/>
      <c r="J364" s="14"/>
    </row>
    <row r="365" ht="12.75" customHeight="1">
      <c r="A365" s="8"/>
      <c r="B365" s="74"/>
      <c r="C365" s="8"/>
      <c r="D365" s="14"/>
      <c r="E365" s="8"/>
      <c r="F365" s="8"/>
      <c r="G365" s="8"/>
      <c r="H365" s="8"/>
      <c r="I365" s="8"/>
      <c r="J365" s="14"/>
    </row>
    <row r="366" ht="12.75" customHeight="1">
      <c r="A366" s="8"/>
      <c r="B366" s="74"/>
      <c r="C366" s="8"/>
      <c r="D366" s="14"/>
      <c r="E366" s="8"/>
      <c r="F366" s="8"/>
      <c r="G366" s="8"/>
      <c r="H366" s="8"/>
      <c r="I366" s="8"/>
      <c r="J366" s="14"/>
    </row>
    <row r="367" ht="12.75" customHeight="1">
      <c r="A367" s="8"/>
      <c r="B367" s="74"/>
      <c r="C367" s="8"/>
      <c r="D367" s="14"/>
      <c r="E367" s="8"/>
      <c r="F367" s="8"/>
      <c r="G367" s="8"/>
      <c r="H367" s="8"/>
      <c r="I367" s="8"/>
      <c r="J367" s="14"/>
    </row>
    <row r="368" ht="12.75" customHeight="1">
      <c r="A368" s="8"/>
      <c r="B368" s="74"/>
      <c r="C368" s="8"/>
      <c r="D368" s="14"/>
      <c r="E368" s="8"/>
      <c r="F368" s="8"/>
      <c r="G368" s="8"/>
      <c r="H368" s="8"/>
      <c r="I368" s="8"/>
      <c r="J368" s="14"/>
    </row>
    <row r="369" ht="12.75" customHeight="1">
      <c r="A369" s="8"/>
      <c r="B369" s="74"/>
      <c r="C369" s="8"/>
      <c r="D369" s="14"/>
      <c r="E369" s="8"/>
      <c r="F369" s="8"/>
      <c r="G369" s="8"/>
      <c r="H369" s="8"/>
      <c r="I369" s="8"/>
      <c r="J369" s="14"/>
    </row>
    <row r="370" ht="12.75" customHeight="1">
      <c r="A370" s="8"/>
      <c r="B370" s="74"/>
      <c r="C370" s="8"/>
      <c r="D370" s="14"/>
      <c r="E370" s="8"/>
      <c r="F370" s="8"/>
      <c r="G370" s="8"/>
      <c r="H370" s="8"/>
      <c r="I370" s="8"/>
      <c r="J370" s="14"/>
    </row>
    <row r="371" ht="12.75" customHeight="1">
      <c r="A371" s="8"/>
      <c r="B371" s="74"/>
      <c r="C371" s="8"/>
      <c r="D371" s="14"/>
      <c r="E371" s="8"/>
      <c r="F371" s="8"/>
      <c r="G371" s="8"/>
      <c r="H371" s="8"/>
      <c r="I371" s="8"/>
      <c r="J371" s="14"/>
    </row>
    <row r="372" ht="12.75" customHeight="1">
      <c r="A372" s="8"/>
      <c r="B372" s="74"/>
      <c r="C372" s="8"/>
      <c r="D372" s="14"/>
      <c r="E372" s="8"/>
      <c r="F372" s="8"/>
      <c r="G372" s="8"/>
      <c r="H372" s="8"/>
      <c r="I372" s="8"/>
      <c r="J372" s="14"/>
    </row>
    <row r="373" ht="12.75" customHeight="1">
      <c r="A373" s="8"/>
      <c r="B373" s="74"/>
      <c r="C373" s="8"/>
      <c r="D373" s="14"/>
      <c r="E373" s="8"/>
      <c r="F373" s="8"/>
      <c r="G373" s="8"/>
      <c r="H373" s="8"/>
      <c r="I373" s="8"/>
      <c r="J373" s="14"/>
    </row>
    <row r="374" ht="12.75" customHeight="1">
      <c r="A374" s="8"/>
      <c r="B374" s="74"/>
      <c r="C374" s="8"/>
      <c r="D374" s="14"/>
      <c r="E374" s="8"/>
      <c r="F374" s="8"/>
      <c r="G374" s="8"/>
      <c r="H374" s="8"/>
      <c r="I374" s="8"/>
      <c r="J374" s="14"/>
    </row>
    <row r="375" ht="12.75" customHeight="1">
      <c r="A375" s="8"/>
      <c r="B375" s="74"/>
      <c r="C375" s="8"/>
      <c r="D375" s="14"/>
      <c r="E375" s="8"/>
      <c r="F375" s="8"/>
      <c r="G375" s="8"/>
      <c r="H375" s="8"/>
      <c r="I375" s="8"/>
      <c r="J375" s="14"/>
    </row>
    <row r="376" ht="12.75" customHeight="1">
      <c r="A376" s="8"/>
      <c r="B376" s="74"/>
      <c r="C376" s="8"/>
      <c r="D376" s="14"/>
      <c r="E376" s="8"/>
      <c r="F376" s="8"/>
      <c r="G376" s="8"/>
      <c r="H376" s="8"/>
      <c r="I376" s="8"/>
      <c r="J376" s="14"/>
    </row>
    <row r="377" ht="12.75" customHeight="1">
      <c r="A377" s="8"/>
      <c r="B377" s="74"/>
      <c r="C377" s="8"/>
      <c r="D377" s="14"/>
      <c r="E377" s="8"/>
      <c r="F377" s="8"/>
      <c r="G377" s="8"/>
      <c r="H377" s="8"/>
      <c r="I377" s="8"/>
      <c r="J377" s="14"/>
    </row>
    <row r="378" ht="12.75" customHeight="1">
      <c r="A378" s="8"/>
      <c r="B378" s="74"/>
      <c r="C378" s="8"/>
      <c r="D378" s="14"/>
      <c r="E378" s="8"/>
      <c r="F378" s="8"/>
      <c r="G378" s="8"/>
      <c r="H378" s="8"/>
      <c r="I378" s="8"/>
      <c r="J378" s="14"/>
    </row>
    <row r="379" ht="12.75" customHeight="1">
      <c r="A379" s="8"/>
      <c r="B379" s="74"/>
      <c r="C379" s="8"/>
      <c r="D379" s="14"/>
      <c r="E379" s="8"/>
      <c r="F379" s="8"/>
      <c r="G379" s="8"/>
      <c r="H379" s="8"/>
      <c r="I379" s="8"/>
      <c r="J379" s="14"/>
    </row>
    <row r="380" ht="12.75" customHeight="1">
      <c r="A380" s="8"/>
      <c r="B380" s="74"/>
      <c r="C380" s="8"/>
      <c r="D380" s="14"/>
      <c r="E380" s="8"/>
      <c r="F380" s="8"/>
      <c r="G380" s="8"/>
      <c r="H380" s="8"/>
      <c r="I380" s="8"/>
      <c r="J380" s="14"/>
    </row>
    <row r="381" ht="12.75" customHeight="1">
      <c r="A381" s="8"/>
      <c r="B381" s="74"/>
      <c r="C381" s="8"/>
      <c r="D381" s="14"/>
      <c r="E381" s="8"/>
      <c r="F381" s="8"/>
      <c r="G381" s="8"/>
      <c r="H381" s="8"/>
      <c r="I381" s="8"/>
      <c r="J381" s="14"/>
    </row>
    <row r="382" ht="12.75" customHeight="1">
      <c r="A382" s="8"/>
      <c r="B382" s="74"/>
      <c r="C382" s="8"/>
      <c r="D382" s="14"/>
      <c r="E382" s="8"/>
      <c r="F382" s="8"/>
      <c r="G382" s="8"/>
      <c r="H382" s="8"/>
      <c r="I382" s="8"/>
      <c r="J382" s="14"/>
    </row>
    <row r="383" ht="12.75" customHeight="1">
      <c r="A383" s="8"/>
      <c r="B383" s="74"/>
      <c r="C383" s="8"/>
      <c r="D383" s="14"/>
      <c r="E383" s="8"/>
      <c r="F383" s="8"/>
      <c r="G383" s="8"/>
      <c r="H383" s="8"/>
      <c r="I383" s="8"/>
      <c r="J383" s="14"/>
    </row>
    <row r="384" ht="12.75" customHeight="1">
      <c r="A384" s="8"/>
      <c r="B384" s="74"/>
      <c r="C384" s="8"/>
      <c r="D384" s="14"/>
      <c r="E384" s="8"/>
      <c r="F384" s="8"/>
      <c r="G384" s="8"/>
      <c r="H384" s="8"/>
      <c r="I384" s="8"/>
      <c r="J384" s="14"/>
    </row>
    <row r="385" ht="12.75" customHeight="1">
      <c r="A385" s="8"/>
      <c r="B385" s="74"/>
      <c r="C385" s="8"/>
      <c r="D385" s="14"/>
      <c r="E385" s="8"/>
      <c r="F385" s="8"/>
      <c r="G385" s="8"/>
      <c r="H385" s="8"/>
      <c r="I385" s="8"/>
      <c r="J385" s="14"/>
    </row>
    <row r="386" ht="12.75" customHeight="1">
      <c r="A386" s="8"/>
      <c r="B386" s="74"/>
      <c r="C386" s="8"/>
      <c r="D386" s="14"/>
      <c r="E386" s="8"/>
      <c r="F386" s="8"/>
      <c r="G386" s="8"/>
      <c r="H386" s="8"/>
      <c r="I386" s="8"/>
      <c r="J386" s="14"/>
    </row>
    <row r="387" ht="12.75" customHeight="1">
      <c r="A387" s="8"/>
      <c r="B387" s="74"/>
      <c r="C387" s="8"/>
      <c r="D387" s="14"/>
      <c r="E387" s="8"/>
      <c r="F387" s="8"/>
      <c r="G387" s="8"/>
      <c r="H387" s="8"/>
      <c r="I387" s="8"/>
      <c r="J387" s="14"/>
    </row>
    <row r="388" ht="12.75" customHeight="1">
      <c r="A388" s="8"/>
      <c r="B388" s="74"/>
      <c r="C388" s="8"/>
      <c r="D388" s="14"/>
      <c r="E388" s="8"/>
      <c r="F388" s="8"/>
      <c r="G388" s="8"/>
      <c r="H388" s="8"/>
      <c r="I388" s="8"/>
      <c r="J388" s="14"/>
    </row>
    <row r="389" ht="12.75" customHeight="1">
      <c r="A389" s="8"/>
      <c r="B389" s="74"/>
      <c r="C389" s="8"/>
      <c r="D389" s="14"/>
      <c r="E389" s="8"/>
      <c r="F389" s="8"/>
      <c r="G389" s="8"/>
      <c r="H389" s="8"/>
      <c r="I389" s="8"/>
      <c r="J389" s="14"/>
    </row>
    <row r="390" ht="12.75" customHeight="1">
      <c r="A390" s="8"/>
      <c r="B390" s="74"/>
      <c r="C390" s="8"/>
      <c r="D390" s="14"/>
      <c r="E390" s="8"/>
      <c r="F390" s="8"/>
      <c r="G390" s="8"/>
      <c r="H390" s="8"/>
      <c r="I390" s="8"/>
      <c r="J390" s="14"/>
    </row>
    <row r="391" ht="12.75" customHeight="1">
      <c r="A391" s="8"/>
      <c r="B391" s="74"/>
      <c r="C391" s="8"/>
      <c r="D391" s="14"/>
      <c r="E391" s="8"/>
      <c r="F391" s="8"/>
      <c r="G391" s="8"/>
      <c r="H391" s="8"/>
      <c r="I391" s="8"/>
      <c r="J391" s="14"/>
    </row>
    <row r="392" ht="12.75" customHeight="1">
      <c r="A392" s="8"/>
      <c r="B392" s="74"/>
      <c r="C392" s="8"/>
      <c r="D392" s="14"/>
      <c r="E392" s="8"/>
      <c r="F392" s="8"/>
      <c r="G392" s="8"/>
      <c r="H392" s="8"/>
      <c r="I392" s="8"/>
      <c r="J392" s="14"/>
    </row>
    <row r="393" ht="12.75" customHeight="1">
      <c r="A393" s="8"/>
      <c r="B393" s="74"/>
      <c r="C393" s="8"/>
      <c r="D393" s="14"/>
      <c r="E393" s="8"/>
      <c r="F393" s="8"/>
      <c r="G393" s="8"/>
      <c r="H393" s="8"/>
      <c r="I393" s="8"/>
      <c r="J393" s="14"/>
    </row>
    <row r="394" ht="12.75" customHeight="1">
      <c r="A394" s="8"/>
      <c r="B394" s="74"/>
      <c r="C394" s="8"/>
      <c r="D394" s="14"/>
      <c r="E394" s="8"/>
      <c r="F394" s="8"/>
      <c r="G394" s="8"/>
      <c r="H394" s="8"/>
      <c r="I394" s="8"/>
      <c r="J394" s="14"/>
    </row>
    <row r="395" ht="12.75" customHeight="1">
      <c r="A395" s="8"/>
      <c r="B395" s="74"/>
      <c r="C395" s="8"/>
      <c r="D395" s="14"/>
      <c r="E395" s="8"/>
      <c r="F395" s="8"/>
      <c r="G395" s="8"/>
      <c r="H395" s="8"/>
      <c r="I395" s="8"/>
      <c r="J395" s="14"/>
    </row>
    <row r="396" ht="12.75" customHeight="1">
      <c r="A396" s="8"/>
      <c r="B396" s="74"/>
      <c r="C396" s="8"/>
      <c r="D396" s="14"/>
      <c r="E396" s="8"/>
      <c r="F396" s="8"/>
      <c r="G396" s="8"/>
      <c r="H396" s="8"/>
      <c r="I396" s="8"/>
      <c r="J396" s="14"/>
    </row>
    <row r="397" ht="12.75" customHeight="1">
      <c r="A397" s="8"/>
      <c r="B397" s="74"/>
      <c r="C397" s="8"/>
      <c r="D397" s="14"/>
      <c r="E397" s="8"/>
      <c r="F397" s="8"/>
      <c r="G397" s="8"/>
      <c r="H397" s="8"/>
      <c r="I397" s="8"/>
      <c r="J397" s="14"/>
    </row>
    <row r="398" ht="12.75" customHeight="1">
      <c r="A398" s="8"/>
      <c r="B398" s="74"/>
      <c r="C398" s="8"/>
      <c r="D398" s="14"/>
      <c r="E398" s="8"/>
      <c r="F398" s="8"/>
      <c r="G398" s="8"/>
      <c r="H398" s="8"/>
      <c r="I398" s="8"/>
      <c r="J398" s="14"/>
    </row>
    <row r="399" ht="12.75" customHeight="1">
      <c r="A399" s="8"/>
      <c r="B399" s="74"/>
      <c r="C399" s="8"/>
      <c r="D399" s="14"/>
      <c r="E399" s="8"/>
      <c r="F399" s="8"/>
      <c r="G399" s="8"/>
      <c r="H399" s="8"/>
      <c r="I399" s="8"/>
      <c r="J399" s="14"/>
    </row>
    <row r="400" ht="12.75" customHeight="1">
      <c r="A400" s="8"/>
      <c r="B400" s="74"/>
      <c r="C400" s="8"/>
      <c r="D400" s="14"/>
      <c r="E400" s="8"/>
      <c r="F400" s="8"/>
      <c r="G400" s="8"/>
      <c r="H400" s="8"/>
      <c r="I400" s="8"/>
      <c r="J400" s="14"/>
    </row>
    <row r="401" ht="12.75" customHeight="1">
      <c r="A401" s="8"/>
      <c r="B401" s="74"/>
      <c r="C401" s="8"/>
      <c r="D401" s="14"/>
      <c r="E401" s="8"/>
      <c r="F401" s="8"/>
      <c r="G401" s="8"/>
      <c r="H401" s="8"/>
      <c r="I401" s="8"/>
      <c r="J401" s="14"/>
    </row>
    <row r="402" ht="12.75" customHeight="1">
      <c r="A402" s="8"/>
      <c r="B402" s="74"/>
      <c r="C402" s="8"/>
      <c r="D402" s="14"/>
      <c r="E402" s="8"/>
      <c r="F402" s="8"/>
      <c r="G402" s="8"/>
      <c r="H402" s="8"/>
      <c r="I402" s="8"/>
      <c r="J402" s="14"/>
    </row>
    <row r="403" ht="12.75" customHeight="1">
      <c r="A403" s="8"/>
      <c r="B403" s="74"/>
      <c r="C403" s="8"/>
      <c r="D403" s="14"/>
      <c r="E403" s="8"/>
      <c r="F403" s="8"/>
      <c r="G403" s="8"/>
      <c r="H403" s="8"/>
      <c r="I403" s="8"/>
      <c r="J403" s="14"/>
    </row>
    <row r="404" ht="12.75" customHeight="1">
      <c r="A404" s="8"/>
      <c r="B404" s="74"/>
      <c r="C404" s="8"/>
      <c r="D404" s="14"/>
      <c r="E404" s="8"/>
      <c r="F404" s="8"/>
      <c r="G404" s="8"/>
      <c r="H404" s="8"/>
      <c r="I404" s="8"/>
      <c r="J404" s="14"/>
    </row>
    <row r="405" ht="12.75" customHeight="1">
      <c r="A405" s="8"/>
      <c r="B405" s="74"/>
      <c r="C405" s="8"/>
      <c r="D405" s="14"/>
      <c r="E405" s="8"/>
      <c r="F405" s="8"/>
      <c r="G405" s="8"/>
      <c r="H405" s="8"/>
      <c r="I405" s="8"/>
      <c r="J405" s="14"/>
    </row>
    <row r="406" ht="12.75" customHeight="1">
      <c r="A406" s="8"/>
      <c r="B406" s="74"/>
      <c r="C406" s="8"/>
      <c r="D406" s="14"/>
      <c r="E406" s="8"/>
      <c r="F406" s="8"/>
      <c r="G406" s="8"/>
      <c r="H406" s="8"/>
      <c r="I406" s="8"/>
      <c r="J406" s="14"/>
    </row>
    <row r="407" ht="12.75" customHeight="1">
      <c r="A407" s="8"/>
      <c r="B407" s="74"/>
      <c r="C407" s="8"/>
      <c r="D407" s="14"/>
      <c r="E407" s="8"/>
      <c r="F407" s="8"/>
      <c r="G407" s="8"/>
      <c r="H407" s="8"/>
      <c r="I407" s="8"/>
      <c r="J407" s="14"/>
    </row>
    <row r="408" ht="12.75" customHeight="1">
      <c r="A408" s="8"/>
      <c r="B408" s="74"/>
      <c r="C408" s="8"/>
      <c r="D408" s="14"/>
      <c r="E408" s="8"/>
      <c r="F408" s="8"/>
      <c r="G408" s="8"/>
      <c r="H408" s="8"/>
      <c r="I408" s="8"/>
      <c r="J408" s="14"/>
    </row>
    <row r="409" ht="12.75" customHeight="1">
      <c r="A409" s="8"/>
      <c r="B409" s="74"/>
      <c r="C409" s="8"/>
      <c r="D409" s="14"/>
      <c r="E409" s="8"/>
      <c r="F409" s="8"/>
      <c r="G409" s="8"/>
      <c r="H409" s="8"/>
      <c r="I409" s="8"/>
      <c r="J409" s="14"/>
    </row>
    <row r="410" ht="12.75" customHeight="1">
      <c r="A410" s="8"/>
      <c r="B410" s="74"/>
      <c r="C410" s="8"/>
      <c r="D410" s="14"/>
      <c r="E410" s="8"/>
      <c r="F410" s="8"/>
      <c r="G410" s="8"/>
      <c r="H410" s="8"/>
      <c r="I410" s="8"/>
      <c r="J410" s="14"/>
    </row>
    <row r="411" ht="12.75" customHeight="1">
      <c r="A411" s="8"/>
      <c r="B411" s="74"/>
      <c r="C411" s="8"/>
      <c r="D411" s="14"/>
      <c r="E411" s="8"/>
      <c r="F411" s="8"/>
      <c r="G411" s="8"/>
      <c r="H411" s="8"/>
      <c r="I411" s="8"/>
      <c r="J411" s="14"/>
    </row>
    <row r="412" ht="12.75" customHeight="1">
      <c r="A412" s="8"/>
      <c r="B412" s="74"/>
      <c r="C412" s="8"/>
      <c r="D412" s="14"/>
      <c r="E412" s="8"/>
      <c r="F412" s="8"/>
      <c r="G412" s="8"/>
      <c r="H412" s="8"/>
      <c r="I412" s="8"/>
      <c r="J412" s="14"/>
    </row>
    <row r="413" ht="12.75" customHeight="1">
      <c r="A413" s="8"/>
      <c r="B413" s="74"/>
      <c r="C413" s="8"/>
      <c r="D413" s="14"/>
      <c r="E413" s="8"/>
      <c r="F413" s="8"/>
      <c r="G413" s="8"/>
      <c r="H413" s="8"/>
      <c r="I413" s="8"/>
      <c r="J413" s="14"/>
    </row>
    <row r="414" ht="12.75" customHeight="1">
      <c r="A414" s="8"/>
      <c r="B414" s="74"/>
      <c r="C414" s="8"/>
      <c r="D414" s="14"/>
      <c r="E414" s="8"/>
      <c r="F414" s="8"/>
      <c r="G414" s="8"/>
      <c r="H414" s="8"/>
      <c r="I414" s="8"/>
      <c r="J414" s="14"/>
    </row>
    <row r="415" ht="12.75" customHeight="1">
      <c r="A415" s="8"/>
      <c r="B415" s="74"/>
      <c r="C415" s="8"/>
      <c r="D415" s="14"/>
      <c r="E415" s="8"/>
      <c r="F415" s="8"/>
      <c r="G415" s="8"/>
      <c r="H415" s="8"/>
      <c r="I415" s="8"/>
      <c r="J415" s="14"/>
    </row>
    <row r="416" ht="12.75" customHeight="1">
      <c r="A416" s="8"/>
      <c r="B416" s="74"/>
      <c r="C416" s="8"/>
      <c r="D416" s="14"/>
      <c r="E416" s="8"/>
      <c r="F416" s="8"/>
      <c r="G416" s="8"/>
      <c r="H416" s="8"/>
      <c r="I416" s="8"/>
      <c r="J416" s="14"/>
    </row>
    <row r="417" ht="12.75" customHeight="1">
      <c r="A417" s="8"/>
      <c r="B417" s="74"/>
      <c r="C417" s="8"/>
      <c r="D417" s="14"/>
      <c r="E417" s="8"/>
      <c r="F417" s="8"/>
      <c r="G417" s="8"/>
      <c r="H417" s="8"/>
      <c r="I417" s="8"/>
      <c r="J417" s="14"/>
    </row>
    <row r="418" ht="12.75" customHeight="1">
      <c r="A418" s="8"/>
      <c r="B418" s="74"/>
      <c r="C418" s="8"/>
      <c r="D418" s="14"/>
      <c r="E418" s="8"/>
      <c r="F418" s="8"/>
      <c r="G418" s="8"/>
      <c r="H418" s="8"/>
      <c r="I418" s="8"/>
      <c r="J418" s="14"/>
    </row>
    <row r="419" ht="12.75" customHeight="1">
      <c r="A419" s="8"/>
      <c r="B419" s="74"/>
      <c r="C419" s="8"/>
      <c r="D419" s="14"/>
      <c r="E419" s="8"/>
      <c r="F419" s="8"/>
      <c r="G419" s="8"/>
      <c r="H419" s="8"/>
      <c r="I419" s="8"/>
      <c r="J419" s="14"/>
    </row>
    <row r="420" ht="12.75" customHeight="1">
      <c r="A420" s="8"/>
      <c r="B420" s="74"/>
      <c r="C420" s="8"/>
      <c r="D420" s="14"/>
      <c r="E420" s="8"/>
      <c r="F420" s="8"/>
      <c r="G420" s="8"/>
      <c r="H420" s="8"/>
      <c r="I420" s="8"/>
      <c r="J420" s="14"/>
    </row>
    <row r="421" ht="12.75" customHeight="1">
      <c r="A421" s="8"/>
      <c r="B421" s="74"/>
      <c r="C421" s="8"/>
      <c r="D421" s="14"/>
      <c r="E421" s="8"/>
      <c r="F421" s="8"/>
      <c r="G421" s="8"/>
      <c r="H421" s="8"/>
      <c r="I421" s="8"/>
      <c r="J421" s="14"/>
    </row>
    <row r="422" ht="12.75" customHeight="1">
      <c r="A422" s="8"/>
      <c r="B422" s="74"/>
      <c r="C422" s="8"/>
      <c r="D422" s="14"/>
      <c r="E422" s="8"/>
      <c r="F422" s="8"/>
      <c r="G422" s="8"/>
      <c r="H422" s="8"/>
      <c r="I422" s="8"/>
      <c r="J422" s="14"/>
    </row>
    <row r="423" ht="12.75" customHeight="1">
      <c r="A423" s="8"/>
      <c r="B423" s="74"/>
      <c r="C423" s="8"/>
      <c r="D423" s="14"/>
      <c r="E423" s="8"/>
      <c r="F423" s="8"/>
      <c r="G423" s="8"/>
      <c r="H423" s="8"/>
      <c r="I423" s="8"/>
      <c r="J423" s="14"/>
    </row>
    <row r="424" ht="12.75" customHeight="1">
      <c r="A424" s="8"/>
      <c r="B424" s="74"/>
      <c r="C424" s="8"/>
      <c r="D424" s="14"/>
      <c r="E424" s="8"/>
      <c r="F424" s="8"/>
      <c r="G424" s="8"/>
      <c r="H424" s="8"/>
      <c r="I424" s="8"/>
      <c r="J424" s="14"/>
    </row>
    <row r="425" ht="12.75" customHeight="1">
      <c r="A425" s="8"/>
      <c r="B425" s="74"/>
      <c r="C425" s="8"/>
      <c r="D425" s="14"/>
      <c r="E425" s="8"/>
      <c r="F425" s="8"/>
      <c r="G425" s="8"/>
      <c r="H425" s="8"/>
      <c r="I425" s="8"/>
      <c r="J425" s="14"/>
    </row>
    <row r="426" ht="12.75" customHeight="1">
      <c r="A426" s="8"/>
      <c r="B426" s="74"/>
      <c r="C426" s="8"/>
      <c r="D426" s="14"/>
      <c r="E426" s="8"/>
      <c r="F426" s="8"/>
      <c r="G426" s="8"/>
      <c r="H426" s="8"/>
      <c r="I426" s="8"/>
      <c r="J426" s="14"/>
    </row>
    <row r="427" ht="12.75" customHeight="1">
      <c r="A427" s="8"/>
      <c r="B427" s="74"/>
      <c r="C427" s="8"/>
      <c r="D427" s="14"/>
      <c r="E427" s="8"/>
      <c r="F427" s="8"/>
      <c r="G427" s="8"/>
      <c r="H427" s="8"/>
      <c r="I427" s="8"/>
      <c r="J427" s="14"/>
    </row>
    <row r="428" ht="12.75" customHeight="1">
      <c r="A428" s="8"/>
      <c r="B428" s="74"/>
      <c r="C428" s="8"/>
      <c r="D428" s="14"/>
      <c r="E428" s="8"/>
      <c r="F428" s="8"/>
      <c r="G428" s="8"/>
      <c r="H428" s="8"/>
      <c r="I428" s="8"/>
      <c r="J428" s="14"/>
    </row>
    <row r="429" ht="12.75" customHeight="1">
      <c r="A429" s="8"/>
      <c r="B429" s="74"/>
      <c r="C429" s="8"/>
      <c r="D429" s="14"/>
      <c r="E429" s="8"/>
      <c r="F429" s="8"/>
      <c r="G429" s="8"/>
      <c r="H429" s="8"/>
      <c r="I429" s="8"/>
      <c r="J429" s="14"/>
    </row>
    <row r="430" ht="12.75" customHeight="1">
      <c r="A430" s="8"/>
      <c r="B430" s="74"/>
      <c r="C430" s="8"/>
      <c r="D430" s="14"/>
      <c r="E430" s="8"/>
      <c r="F430" s="8"/>
      <c r="G430" s="8"/>
      <c r="H430" s="8"/>
      <c r="I430" s="8"/>
      <c r="J430" s="14"/>
    </row>
    <row r="431" ht="12.75" customHeight="1">
      <c r="A431" s="8"/>
      <c r="B431" s="74"/>
      <c r="C431" s="8"/>
      <c r="D431" s="14"/>
      <c r="E431" s="8"/>
      <c r="F431" s="8"/>
      <c r="G431" s="8"/>
      <c r="H431" s="8"/>
      <c r="I431" s="8"/>
      <c r="J431" s="14"/>
    </row>
    <row r="432" ht="12.75" customHeight="1">
      <c r="A432" s="8"/>
      <c r="B432" s="74"/>
      <c r="C432" s="8"/>
      <c r="D432" s="14"/>
      <c r="E432" s="8"/>
      <c r="F432" s="8"/>
      <c r="G432" s="8"/>
      <c r="H432" s="8"/>
      <c r="I432" s="8"/>
      <c r="J432" s="14"/>
    </row>
    <row r="433" ht="12.75" customHeight="1">
      <c r="A433" s="8"/>
      <c r="B433" s="74"/>
      <c r="C433" s="8"/>
      <c r="D433" s="14"/>
      <c r="E433" s="8"/>
      <c r="F433" s="8"/>
      <c r="G433" s="8"/>
      <c r="H433" s="8"/>
      <c r="I433" s="8"/>
      <c r="J433" s="14"/>
    </row>
    <row r="434" ht="12.75" customHeight="1">
      <c r="A434" s="8"/>
      <c r="B434" s="74"/>
      <c r="C434" s="8"/>
      <c r="D434" s="14"/>
      <c r="E434" s="8"/>
      <c r="F434" s="8"/>
      <c r="G434" s="8"/>
      <c r="H434" s="8"/>
      <c r="I434" s="8"/>
      <c r="J434" s="14"/>
    </row>
    <row r="435" ht="12.75" customHeight="1">
      <c r="A435" s="8"/>
      <c r="B435" s="74"/>
      <c r="C435" s="8"/>
      <c r="D435" s="14"/>
      <c r="E435" s="8"/>
      <c r="F435" s="8"/>
      <c r="G435" s="8"/>
      <c r="H435" s="8"/>
      <c r="I435" s="8"/>
      <c r="J435" s="14"/>
    </row>
    <row r="436" ht="12.75" customHeight="1">
      <c r="A436" s="8"/>
      <c r="B436" s="74"/>
      <c r="C436" s="8"/>
      <c r="D436" s="14"/>
      <c r="E436" s="8"/>
      <c r="F436" s="8"/>
      <c r="G436" s="8"/>
      <c r="H436" s="8"/>
      <c r="I436" s="8"/>
      <c r="J436" s="14"/>
    </row>
    <row r="437" ht="12.75" customHeight="1">
      <c r="A437" s="8"/>
      <c r="B437" s="74"/>
      <c r="C437" s="8"/>
      <c r="D437" s="14"/>
      <c r="E437" s="8"/>
      <c r="F437" s="8"/>
      <c r="G437" s="8"/>
      <c r="H437" s="8"/>
      <c r="I437" s="8"/>
      <c r="J437" s="14"/>
    </row>
    <row r="438" ht="12.75" customHeight="1">
      <c r="A438" s="8"/>
      <c r="B438" s="74"/>
      <c r="C438" s="8"/>
      <c r="D438" s="14"/>
      <c r="E438" s="8"/>
      <c r="F438" s="8"/>
      <c r="G438" s="8"/>
      <c r="H438" s="8"/>
      <c r="I438" s="8"/>
      <c r="J438" s="14"/>
    </row>
    <row r="439" ht="12.75" customHeight="1">
      <c r="A439" s="8"/>
      <c r="B439" s="74"/>
      <c r="C439" s="8"/>
      <c r="D439" s="14"/>
      <c r="E439" s="8"/>
      <c r="F439" s="8"/>
      <c r="G439" s="8"/>
      <c r="H439" s="8"/>
      <c r="I439" s="8"/>
      <c r="J439" s="14"/>
    </row>
    <row r="440" ht="12.75" customHeight="1">
      <c r="A440" s="8"/>
      <c r="B440" s="74"/>
      <c r="C440" s="8"/>
      <c r="D440" s="14"/>
      <c r="E440" s="8"/>
      <c r="F440" s="8"/>
      <c r="G440" s="8"/>
      <c r="H440" s="8"/>
      <c r="I440" s="8"/>
      <c r="J440" s="14"/>
    </row>
    <row r="441" ht="12.75" customHeight="1">
      <c r="A441" s="8"/>
      <c r="B441" s="74"/>
      <c r="C441" s="8"/>
      <c r="D441" s="14"/>
      <c r="E441" s="8"/>
      <c r="F441" s="8"/>
      <c r="G441" s="8"/>
      <c r="H441" s="8"/>
      <c r="I441" s="8"/>
      <c r="J441" s="14"/>
    </row>
    <row r="442" ht="12.75" customHeight="1">
      <c r="A442" s="8"/>
      <c r="B442" s="74"/>
      <c r="C442" s="8"/>
      <c r="D442" s="14"/>
      <c r="E442" s="8"/>
      <c r="F442" s="8"/>
      <c r="G442" s="8"/>
      <c r="H442" s="8"/>
      <c r="I442" s="8"/>
      <c r="J442" s="14"/>
    </row>
    <row r="443" ht="12.75" customHeight="1">
      <c r="A443" s="8"/>
      <c r="B443" s="74"/>
      <c r="C443" s="8"/>
      <c r="D443" s="14"/>
      <c r="E443" s="8"/>
      <c r="F443" s="8"/>
      <c r="G443" s="8"/>
      <c r="H443" s="8"/>
      <c r="I443" s="8"/>
      <c r="J443" s="14"/>
    </row>
    <row r="444" ht="12.75" customHeight="1">
      <c r="A444" s="8"/>
      <c r="B444" s="74"/>
      <c r="C444" s="8"/>
      <c r="D444" s="14"/>
      <c r="E444" s="8"/>
      <c r="F444" s="8"/>
      <c r="G444" s="8"/>
      <c r="H444" s="8"/>
      <c r="I444" s="8"/>
      <c r="J444" s="14"/>
    </row>
    <row r="445" ht="12.75" customHeight="1">
      <c r="A445" s="8"/>
      <c r="B445" s="74"/>
      <c r="C445" s="8"/>
      <c r="D445" s="14"/>
      <c r="E445" s="8"/>
      <c r="F445" s="8"/>
      <c r="G445" s="8"/>
      <c r="H445" s="8"/>
      <c r="I445" s="8"/>
      <c r="J445" s="14"/>
    </row>
    <row r="446" ht="12.75" customHeight="1">
      <c r="A446" s="8"/>
      <c r="B446" s="74"/>
      <c r="C446" s="8"/>
      <c r="D446" s="14"/>
      <c r="E446" s="8"/>
      <c r="F446" s="8"/>
      <c r="G446" s="8"/>
      <c r="H446" s="8"/>
      <c r="I446" s="8"/>
      <c r="J446" s="14"/>
    </row>
    <row r="447" ht="12.75" customHeight="1">
      <c r="A447" s="8"/>
      <c r="B447" s="74"/>
      <c r="C447" s="8"/>
      <c r="D447" s="14"/>
      <c r="E447" s="8"/>
      <c r="F447" s="8"/>
      <c r="G447" s="8"/>
      <c r="H447" s="8"/>
      <c r="I447" s="8"/>
      <c r="J447" s="14"/>
    </row>
    <row r="448" ht="12.75" customHeight="1">
      <c r="A448" s="8"/>
      <c r="B448" s="74"/>
      <c r="C448" s="8"/>
      <c r="D448" s="14"/>
      <c r="E448" s="8"/>
      <c r="F448" s="8"/>
      <c r="G448" s="8"/>
      <c r="H448" s="8"/>
      <c r="I448" s="8"/>
      <c r="J448" s="14"/>
    </row>
    <row r="449" ht="12.75" customHeight="1">
      <c r="A449" s="8"/>
      <c r="B449" s="74"/>
      <c r="C449" s="8"/>
      <c r="D449" s="14"/>
      <c r="E449" s="8"/>
      <c r="F449" s="8"/>
      <c r="G449" s="8"/>
      <c r="H449" s="8"/>
      <c r="I449" s="8"/>
      <c r="J449" s="14"/>
    </row>
    <row r="450" ht="12.75" customHeight="1">
      <c r="A450" s="8"/>
      <c r="B450" s="74"/>
      <c r="C450" s="8"/>
      <c r="D450" s="14"/>
      <c r="E450" s="8"/>
      <c r="F450" s="8"/>
      <c r="G450" s="8"/>
      <c r="H450" s="8"/>
      <c r="I450" s="8"/>
      <c r="J450" s="14"/>
    </row>
    <row r="451" ht="12.75" customHeight="1">
      <c r="A451" s="8"/>
      <c r="B451" s="74"/>
      <c r="C451" s="8"/>
      <c r="D451" s="14"/>
      <c r="E451" s="8"/>
      <c r="F451" s="8"/>
      <c r="G451" s="8"/>
      <c r="H451" s="8"/>
      <c r="I451" s="8"/>
      <c r="J451" s="14"/>
    </row>
    <row r="452" ht="12.75" customHeight="1">
      <c r="A452" s="8"/>
      <c r="B452" s="74"/>
      <c r="C452" s="8"/>
      <c r="D452" s="14"/>
      <c r="E452" s="8"/>
      <c r="F452" s="8"/>
      <c r="G452" s="8"/>
      <c r="H452" s="8"/>
      <c r="I452" s="8"/>
      <c r="J452" s="14"/>
    </row>
    <row r="453" ht="12.75" customHeight="1">
      <c r="A453" s="8"/>
      <c r="B453" s="74"/>
      <c r="C453" s="8"/>
      <c r="D453" s="14"/>
      <c r="E453" s="8"/>
      <c r="F453" s="8"/>
      <c r="G453" s="8"/>
      <c r="H453" s="8"/>
      <c r="I453" s="8"/>
      <c r="J453" s="14"/>
    </row>
    <row r="454" ht="12.75" customHeight="1">
      <c r="A454" s="8"/>
      <c r="B454" s="74"/>
      <c r="C454" s="8"/>
      <c r="D454" s="14"/>
      <c r="E454" s="8"/>
      <c r="F454" s="8"/>
      <c r="G454" s="8"/>
      <c r="H454" s="8"/>
      <c r="I454" s="8"/>
      <c r="J454" s="14"/>
    </row>
    <row r="455" ht="12.75" customHeight="1">
      <c r="A455" s="8"/>
      <c r="B455" s="74"/>
      <c r="C455" s="8"/>
      <c r="D455" s="14"/>
      <c r="E455" s="8"/>
      <c r="F455" s="8"/>
      <c r="G455" s="8"/>
      <c r="H455" s="8"/>
      <c r="I455" s="8"/>
      <c r="J455" s="14"/>
    </row>
    <row r="456" ht="12.75" customHeight="1">
      <c r="A456" s="8"/>
      <c r="B456" s="74"/>
      <c r="C456" s="8"/>
      <c r="D456" s="14"/>
      <c r="E456" s="8"/>
      <c r="F456" s="8"/>
      <c r="G456" s="8"/>
      <c r="H456" s="8"/>
      <c r="I456" s="8"/>
      <c r="J456" s="14"/>
    </row>
    <row r="457" ht="12.75" customHeight="1">
      <c r="A457" s="8"/>
      <c r="B457" s="74"/>
      <c r="C457" s="8"/>
      <c r="D457" s="14"/>
      <c r="E457" s="8"/>
      <c r="F457" s="8"/>
      <c r="G457" s="8"/>
      <c r="H457" s="8"/>
      <c r="I457" s="8"/>
      <c r="J457" s="14"/>
    </row>
    <row r="458" ht="12.75" customHeight="1">
      <c r="A458" s="8"/>
      <c r="B458" s="74"/>
      <c r="C458" s="8"/>
      <c r="D458" s="14"/>
      <c r="E458" s="8"/>
      <c r="F458" s="8"/>
      <c r="G458" s="8"/>
      <c r="H458" s="8"/>
      <c r="I458" s="8"/>
      <c r="J458" s="14"/>
    </row>
    <row r="459" ht="12.75" customHeight="1">
      <c r="A459" s="8"/>
      <c r="B459" s="74"/>
      <c r="C459" s="8"/>
      <c r="D459" s="14"/>
      <c r="E459" s="8"/>
      <c r="F459" s="8"/>
      <c r="G459" s="8"/>
      <c r="H459" s="8"/>
      <c r="I459" s="8"/>
      <c r="J459" s="14"/>
    </row>
    <row r="460" ht="12.75" customHeight="1">
      <c r="A460" s="8"/>
      <c r="B460" s="74"/>
      <c r="C460" s="8"/>
      <c r="D460" s="14"/>
      <c r="E460" s="8"/>
      <c r="F460" s="8"/>
      <c r="G460" s="8"/>
      <c r="H460" s="8"/>
      <c r="I460" s="8"/>
      <c r="J460" s="14"/>
    </row>
    <row r="461" ht="12.75" customHeight="1">
      <c r="A461" s="8"/>
      <c r="B461" s="74"/>
      <c r="C461" s="8"/>
      <c r="D461" s="14"/>
      <c r="E461" s="8"/>
      <c r="F461" s="8"/>
      <c r="G461" s="8"/>
      <c r="H461" s="8"/>
      <c r="I461" s="8"/>
      <c r="J461" s="14"/>
    </row>
    <row r="462" ht="12.75" customHeight="1">
      <c r="A462" s="8"/>
      <c r="B462" s="74"/>
      <c r="C462" s="8"/>
      <c r="D462" s="14"/>
      <c r="E462" s="8"/>
      <c r="F462" s="8"/>
      <c r="G462" s="8"/>
      <c r="H462" s="8"/>
      <c r="I462" s="8"/>
      <c r="J462" s="14"/>
    </row>
    <row r="463" ht="12.75" customHeight="1">
      <c r="A463" s="8"/>
      <c r="B463" s="74"/>
      <c r="C463" s="8"/>
      <c r="D463" s="14"/>
      <c r="E463" s="8"/>
      <c r="F463" s="8"/>
      <c r="G463" s="8"/>
      <c r="H463" s="8"/>
      <c r="I463" s="8"/>
      <c r="J463" s="14"/>
    </row>
    <row r="464" ht="12.75" customHeight="1">
      <c r="A464" s="8"/>
      <c r="B464" s="74"/>
      <c r="C464" s="8"/>
      <c r="D464" s="14"/>
      <c r="E464" s="8"/>
      <c r="F464" s="8"/>
      <c r="G464" s="8"/>
      <c r="H464" s="8"/>
      <c r="I464" s="8"/>
      <c r="J464" s="14"/>
    </row>
    <row r="465" ht="12.75" customHeight="1">
      <c r="A465" s="8"/>
      <c r="B465" s="74"/>
      <c r="C465" s="8"/>
      <c r="D465" s="14"/>
      <c r="E465" s="8"/>
      <c r="F465" s="8"/>
      <c r="G465" s="8"/>
      <c r="H465" s="8"/>
      <c r="I465" s="8"/>
      <c r="J465" s="14"/>
    </row>
    <row r="466" ht="12.75" customHeight="1">
      <c r="A466" s="8"/>
      <c r="B466" s="74"/>
      <c r="C466" s="8"/>
      <c r="D466" s="14"/>
      <c r="E466" s="8"/>
      <c r="F466" s="8"/>
      <c r="G466" s="8"/>
      <c r="H466" s="8"/>
      <c r="I466" s="8"/>
      <c r="J466" s="14"/>
    </row>
    <row r="467" ht="12.75" customHeight="1">
      <c r="A467" s="8"/>
      <c r="B467" s="74"/>
      <c r="C467" s="8"/>
      <c r="D467" s="14"/>
      <c r="E467" s="8"/>
      <c r="F467" s="8"/>
      <c r="G467" s="8"/>
      <c r="H467" s="8"/>
      <c r="I467" s="8"/>
      <c r="J467" s="14"/>
    </row>
    <row r="468" ht="12.75" customHeight="1">
      <c r="A468" s="8"/>
      <c r="B468" s="74"/>
      <c r="C468" s="8"/>
      <c r="D468" s="14"/>
      <c r="E468" s="8"/>
      <c r="F468" s="8"/>
      <c r="G468" s="8"/>
      <c r="H468" s="8"/>
      <c r="I468" s="8"/>
      <c r="J468" s="14"/>
    </row>
    <row r="469" ht="12.75" customHeight="1">
      <c r="A469" s="8"/>
      <c r="B469" s="74"/>
      <c r="C469" s="8"/>
      <c r="D469" s="14"/>
      <c r="E469" s="8"/>
      <c r="F469" s="8"/>
      <c r="G469" s="8"/>
      <c r="H469" s="8"/>
      <c r="I469" s="8"/>
      <c r="J469" s="14"/>
    </row>
    <row r="470" ht="12.75" customHeight="1">
      <c r="A470" s="8"/>
      <c r="B470" s="74"/>
      <c r="C470" s="8"/>
      <c r="D470" s="14"/>
      <c r="E470" s="8"/>
      <c r="F470" s="8"/>
      <c r="G470" s="8"/>
      <c r="H470" s="8"/>
      <c r="I470" s="8"/>
      <c r="J470" s="14"/>
    </row>
    <row r="471" ht="12.75" customHeight="1">
      <c r="A471" s="8"/>
      <c r="B471" s="74"/>
      <c r="C471" s="8"/>
      <c r="D471" s="14"/>
      <c r="E471" s="8"/>
      <c r="F471" s="8"/>
      <c r="G471" s="8"/>
      <c r="H471" s="8"/>
      <c r="I471" s="8"/>
      <c r="J471" s="14"/>
    </row>
    <row r="472" ht="12.75" customHeight="1">
      <c r="A472" s="8"/>
      <c r="B472" s="74"/>
      <c r="C472" s="8"/>
      <c r="D472" s="14"/>
      <c r="E472" s="8"/>
      <c r="F472" s="8"/>
      <c r="G472" s="8"/>
      <c r="H472" s="8"/>
      <c r="I472" s="8"/>
      <c r="J472" s="14"/>
    </row>
    <row r="473" ht="12.75" customHeight="1">
      <c r="A473" s="8"/>
      <c r="B473" s="74"/>
      <c r="C473" s="8"/>
      <c r="D473" s="14"/>
      <c r="E473" s="8"/>
      <c r="F473" s="8"/>
      <c r="G473" s="8"/>
      <c r="H473" s="8"/>
      <c r="I473" s="8"/>
      <c r="J473" s="14"/>
    </row>
    <row r="474" ht="12.75" customHeight="1">
      <c r="A474" s="8"/>
      <c r="B474" s="74"/>
      <c r="C474" s="8"/>
      <c r="D474" s="14"/>
      <c r="E474" s="8"/>
      <c r="F474" s="8"/>
      <c r="G474" s="8"/>
      <c r="H474" s="8"/>
      <c r="I474" s="8"/>
      <c r="J474" s="14"/>
    </row>
    <row r="475" ht="12.75" customHeight="1">
      <c r="A475" s="8"/>
      <c r="B475" s="74"/>
      <c r="C475" s="8"/>
      <c r="D475" s="14"/>
      <c r="E475" s="8"/>
      <c r="F475" s="8"/>
      <c r="G475" s="8"/>
      <c r="H475" s="8"/>
      <c r="I475" s="8"/>
      <c r="J475" s="14"/>
    </row>
    <row r="476" ht="12.75" customHeight="1">
      <c r="A476" s="8"/>
      <c r="B476" s="74"/>
      <c r="C476" s="8"/>
      <c r="D476" s="14"/>
      <c r="E476" s="8"/>
      <c r="F476" s="8"/>
      <c r="G476" s="8"/>
      <c r="H476" s="8"/>
      <c r="I476" s="8"/>
      <c r="J476" s="14"/>
    </row>
    <row r="477" ht="12.75" customHeight="1">
      <c r="A477" s="8"/>
      <c r="B477" s="74"/>
      <c r="C477" s="8"/>
      <c r="D477" s="14"/>
      <c r="E477" s="8"/>
      <c r="F477" s="8"/>
      <c r="G477" s="8"/>
      <c r="H477" s="8"/>
      <c r="I477" s="8"/>
      <c r="J477" s="14"/>
    </row>
    <row r="478" ht="12.75" customHeight="1">
      <c r="A478" s="8"/>
      <c r="B478" s="74"/>
      <c r="C478" s="8"/>
      <c r="D478" s="14"/>
      <c r="E478" s="8"/>
      <c r="F478" s="8"/>
      <c r="G478" s="8"/>
      <c r="H478" s="8"/>
      <c r="I478" s="8"/>
      <c r="J478" s="14"/>
    </row>
    <row r="479" ht="12.75" customHeight="1">
      <c r="A479" s="8"/>
      <c r="B479" s="74"/>
      <c r="C479" s="8"/>
      <c r="D479" s="14"/>
      <c r="E479" s="8"/>
      <c r="F479" s="8"/>
      <c r="G479" s="8"/>
      <c r="H479" s="8"/>
      <c r="I479" s="8"/>
      <c r="J479" s="14"/>
    </row>
    <row r="480" ht="12.75" customHeight="1">
      <c r="A480" s="8"/>
      <c r="B480" s="74"/>
      <c r="C480" s="8"/>
      <c r="D480" s="14"/>
      <c r="E480" s="8"/>
      <c r="F480" s="8"/>
      <c r="G480" s="8"/>
      <c r="H480" s="8"/>
      <c r="I480" s="8"/>
      <c r="J480" s="14"/>
    </row>
    <row r="481" ht="12.75" customHeight="1">
      <c r="A481" s="8"/>
      <c r="B481" s="74"/>
      <c r="C481" s="8"/>
      <c r="D481" s="14"/>
      <c r="E481" s="8"/>
      <c r="F481" s="8"/>
      <c r="G481" s="8"/>
      <c r="H481" s="8"/>
      <c r="I481" s="8"/>
      <c r="J481" s="14"/>
    </row>
    <row r="482" ht="12.75" customHeight="1">
      <c r="A482" s="8"/>
      <c r="B482" s="74"/>
      <c r="C482" s="8"/>
      <c r="D482" s="14"/>
      <c r="E482" s="8"/>
      <c r="F482" s="8"/>
      <c r="G482" s="8"/>
      <c r="H482" s="8"/>
      <c r="I482" s="8"/>
      <c r="J482" s="14"/>
    </row>
    <row r="483" ht="12.75" customHeight="1">
      <c r="A483" s="8"/>
      <c r="B483" s="74"/>
      <c r="C483" s="8"/>
      <c r="D483" s="14"/>
      <c r="E483" s="8"/>
      <c r="F483" s="8"/>
      <c r="G483" s="8"/>
      <c r="H483" s="8"/>
      <c r="I483" s="8"/>
      <c r="J483" s="14"/>
    </row>
    <row r="484" ht="12.75" customHeight="1">
      <c r="A484" s="8"/>
      <c r="B484" s="74"/>
      <c r="C484" s="8"/>
      <c r="D484" s="14"/>
      <c r="E484" s="8"/>
      <c r="F484" s="8"/>
      <c r="G484" s="8"/>
      <c r="H484" s="8"/>
      <c r="I484" s="8"/>
      <c r="J484" s="14"/>
    </row>
    <row r="485" ht="12.75" customHeight="1">
      <c r="A485" s="8"/>
      <c r="B485" s="74"/>
      <c r="C485" s="8"/>
      <c r="D485" s="14"/>
      <c r="E485" s="8"/>
      <c r="F485" s="8"/>
      <c r="G485" s="8"/>
      <c r="H485" s="8"/>
      <c r="I485" s="8"/>
      <c r="J485" s="14"/>
    </row>
    <row r="486" ht="12.75" customHeight="1">
      <c r="A486" s="8"/>
      <c r="B486" s="74"/>
      <c r="C486" s="8"/>
      <c r="D486" s="14"/>
      <c r="E486" s="8"/>
      <c r="F486" s="8"/>
      <c r="G486" s="8"/>
      <c r="H486" s="8"/>
      <c r="I486" s="8"/>
      <c r="J486" s="14"/>
    </row>
    <row r="487" ht="12.75" customHeight="1">
      <c r="A487" s="8"/>
      <c r="B487" s="74"/>
      <c r="C487" s="8"/>
      <c r="D487" s="14"/>
      <c r="E487" s="8"/>
      <c r="F487" s="8"/>
      <c r="G487" s="8"/>
      <c r="H487" s="8"/>
      <c r="I487" s="8"/>
      <c r="J487" s="14"/>
    </row>
    <row r="488" ht="12.75" customHeight="1">
      <c r="A488" s="8"/>
      <c r="B488" s="74"/>
      <c r="C488" s="8"/>
      <c r="D488" s="14"/>
      <c r="E488" s="8"/>
      <c r="F488" s="8"/>
      <c r="G488" s="8"/>
      <c r="H488" s="8"/>
      <c r="I488" s="8"/>
      <c r="J488" s="14"/>
    </row>
    <row r="489" ht="12.75" customHeight="1">
      <c r="A489" s="8"/>
      <c r="B489" s="74"/>
      <c r="C489" s="8"/>
      <c r="D489" s="14"/>
      <c r="E489" s="8"/>
      <c r="F489" s="8"/>
      <c r="G489" s="8"/>
      <c r="H489" s="8"/>
      <c r="I489" s="8"/>
      <c r="J489" s="14"/>
    </row>
    <row r="490" ht="12.75" customHeight="1">
      <c r="A490" s="8"/>
      <c r="B490" s="74"/>
      <c r="C490" s="8"/>
      <c r="D490" s="14"/>
      <c r="E490" s="8"/>
      <c r="F490" s="8"/>
      <c r="G490" s="8"/>
      <c r="H490" s="8"/>
      <c r="I490" s="8"/>
      <c r="J490" s="14"/>
    </row>
    <row r="491" ht="12.75" customHeight="1">
      <c r="A491" s="8"/>
      <c r="B491" s="74"/>
      <c r="C491" s="8"/>
      <c r="D491" s="14"/>
      <c r="E491" s="8"/>
      <c r="F491" s="8"/>
      <c r="G491" s="8"/>
      <c r="H491" s="8"/>
      <c r="I491" s="8"/>
      <c r="J491" s="14"/>
    </row>
    <row r="492" ht="12.75" customHeight="1">
      <c r="A492" s="8"/>
      <c r="B492" s="74"/>
      <c r="C492" s="8"/>
      <c r="D492" s="14"/>
      <c r="E492" s="8"/>
      <c r="F492" s="8"/>
      <c r="G492" s="8"/>
      <c r="H492" s="8"/>
      <c r="I492" s="8"/>
      <c r="J492" s="14"/>
    </row>
    <row r="493" ht="12.75" customHeight="1">
      <c r="A493" s="8"/>
      <c r="B493" s="74"/>
      <c r="C493" s="8"/>
      <c r="D493" s="14"/>
      <c r="E493" s="8"/>
      <c r="F493" s="8"/>
      <c r="G493" s="8"/>
      <c r="H493" s="8"/>
      <c r="I493" s="8"/>
      <c r="J493" s="14"/>
    </row>
    <row r="494" ht="12.75" customHeight="1">
      <c r="A494" s="8"/>
      <c r="B494" s="74"/>
      <c r="C494" s="8"/>
      <c r="D494" s="14"/>
      <c r="E494" s="8"/>
      <c r="F494" s="8"/>
      <c r="G494" s="8"/>
      <c r="H494" s="8"/>
      <c r="I494" s="8"/>
      <c r="J494" s="14"/>
    </row>
    <row r="495" ht="12.75" customHeight="1">
      <c r="A495" s="8"/>
      <c r="B495" s="74"/>
      <c r="C495" s="8"/>
      <c r="D495" s="14"/>
      <c r="E495" s="8"/>
      <c r="F495" s="8"/>
      <c r="G495" s="8"/>
      <c r="H495" s="8"/>
      <c r="I495" s="8"/>
      <c r="J495" s="14"/>
    </row>
    <row r="496" ht="12.75" customHeight="1">
      <c r="A496" s="8"/>
      <c r="B496" s="74"/>
      <c r="C496" s="8"/>
      <c r="D496" s="14"/>
      <c r="E496" s="8"/>
      <c r="F496" s="8"/>
      <c r="G496" s="8"/>
      <c r="H496" s="8"/>
      <c r="I496" s="8"/>
      <c r="J496" s="14"/>
    </row>
    <row r="497" ht="12.75" customHeight="1">
      <c r="A497" s="8"/>
      <c r="B497" s="74"/>
      <c r="C497" s="8"/>
      <c r="D497" s="14"/>
      <c r="E497" s="8"/>
      <c r="F497" s="8"/>
      <c r="G497" s="8"/>
      <c r="H497" s="8"/>
      <c r="I497" s="8"/>
      <c r="J497" s="14"/>
    </row>
    <row r="498" ht="12.75" customHeight="1">
      <c r="A498" s="8"/>
      <c r="B498" s="74"/>
      <c r="C498" s="8"/>
      <c r="D498" s="14"/>
      <c r="E498" s="8"/>
      <c r="F498" s="8"/>
      <c r="G498" s="8"/>
      <c r="H498" s="8"/>
      <c r="I498" s="8"/>
      <c r="J498" s="14"/>
    </row>
    <row r="499" ht="12.75" customHeight="1">
      <c r="A499" s="8"/>
      <c r="B499" s="74"/>
      <c r="C499" s="8"/>
      <c r="D499" s="14"/>
      <c r="E499" s="8"/>
      <c r="F499" s="8"/>
      <c r="G499" s="8"/>
      <c r="H499" s="8"/>
      <c r="I499" s="8"/>
      <c r="J499" s="14"/>
    </row>
    <row r="500" ht="12.75" customHeight="1">
      <c r="A500" s="8"/>
      <c r="B500" s="74"/>
      <c r="C500" s="8"/>
      <c r="D500" s="14"/>
      <c r="E500" s="8"/>
      <c r="F500" s="8"/>
      <c r="G500" s="8"/>
      <c r="H500" s="8"/>
      <c r="I500" s="8"/>
      <c r="J500" s="14"/>
    </row>
    <row r="501" ht="12.75" customHeight="1">
      <c r="A501" s="8"/>
      <c r="B501" s="74"/>
      <c r="C501" s="8"/>
      <c r="D501" s="14"/>
      <c r="E501" s="8"/>
      <c r="F501" s="8"/>
      <c r="G501" s="8"/>
      <c r="H501" s="8"/>
      <c r="I501" s="8"/>
      <c r="J501" s="14"/>
    </row>
    <row r="502" ht="12.75" customHeight="1">
      <c r="A502" s="8"/>
      <c r="B502" s="74"/>
      <c r="C502" s="8"/>
      <c r="D502" s="14"/>
      <c r="E502" s="8"/>
      <c r="F502" s="8"/>
      <c r="G502" s="8"/>
      <c r="H502" s="8"/>
      <c r="I502" s="8"/>
      <c r="J502" s="14"/>
    </row>
    <row r="503" ht="12.75" customHeight="1">
      <c r="A503" s="8"/>
      <c r="B503" s="74"/>
      <c r="C503" s="8"/>
      <c r="D503" s="14"/>
      <c r="E503" s="8"/>
      <c r="F503" s="8"/>
      <c r="G503" s="8"/>
      <c r="H503" s="8"/>
      <c r="I503" s="8"/>
      <c r="J503" s="14"/>
    </row>
    <row r="504" ht="12.75" customHeight="1">
      <c r="A504" s="8"/>
      <c r="B504" s="74"/>
      <c r="C504" s="8"/>
      <c r="D504" s="14"/>
      <c r="E504" s="8"/>
      <c r="F504" s="8"/>
      <c r="G504" s="8"/>
      <c r="H504" s="8"/>
      <c r="I504" s="8"/>
      <c r="J504" s="14"/>
    </row>
    <row r="505" ht="12.75" customHeight="1">
      <c r="A505" s="8"/>
      <c r="B505" s="74"/>
      <c r="C505" s="8"/>
      <c r="D505" s="14"/>
      <c r="E505" s="8"/>
      <c r="F505" s="8"/>
      <c r="G505" s="8"/>
      <c r="H505" s="8"/>
      <c r="I505" s="8"/>
      <c r="J505" s="14"/>
    </row>
    <row r="506" ht="12.75" customHeight="1">
      <c r="A506" s="8"/>
      <c r="B506" s="74"/>
      <c r="C506" s="8"/>
      <c r="D506" s="14"/>
      <c r="E506" s="8"/>
      <c r="F506" s="8"/>
      <c r="G506" s="8"/>
      <c r="H506" s="8"/>
      <c r="I506" s="8"/>
      <c r="J506" s="14"/>
    </row>
    <row r="507" ht="12.75" customHeight="1">
      <c r="A507" s="8"/>
      <c r="B507" s="74"/>
      <c r="C507" s="8"/>
      <c r="D507" s="14"/>
      <c r="E507" s="8"/>
      <c r="F507" s="8"/>
      <c r="G507" s="8"/>
      <c r="H507" s="8"/>
      <c r="I507" s="8"/>
      <c r="J507" s="14"/>
    </row>
    <row r="508" ht="12.75" customHeight="1">
      <c r="A508" s="8"/>
      <c r="B508" s="74"/>
      <c r="C508" s="8"/>
      <c r="D508" s="14"/>
      <c r="E508" s="8"/>
      <c r="F508" s="8"/>
      <c r="G508" s="8"/>
      <c r="H508" s="8"/>
      <c r="I508" s="8"/>
      <c r="J508" s="14"/>
    </row>
    <row r="509" ht="12.75" customHeight="1">
      <c r="A509" s="8"/>
      <c r="B509" s="74"/>
      <c r="C509" s="8"/>
      <c r="D509" s="14"/>
      <c r="E509" s="8"/>
      <c r="F509" s="8"/>
      <c r="G509" s="8"/>
      <c r="H509" s="8"/>
      <c r="I509" s="8"/>
      <c r="J509" s="14"/>
    </row>
    <row r="510" ht="12.75" customHeight="1">
      <c r="A510" s="8"/>
      <c r="B510" s="74"/>
      <c r="C510" s="8"/>
      <c r="D510" s="14"/>
      <c r="E510" s="8"/>
      <c r="F510" s="8"/>
      <c r="G510" s="8"/>
      <c r="H510" s="8"/>
      <c r="I510" s="8"/>
      <c r="J510" s="14"/>
    </row>
    <row r="511" ht="12.75" customHeight="1">
      <c r="A511" s="8"/>
      <c r="B511" s="74"/>
      <c r="C511" s="8"/>
      <c r="D511" s="14"/>
      <c r="E511" s="8"/>
      <c r="F511" s="8"/>
      <c r="G511" s="8"/>
      <c r="H511" s="8"/>
      <c r="I511" s="8"/>
      <c r="J511" s="14"/>
    </row>
    <row r="512" ht="12.75" customHeight="1">
      <c r="A512" s="8"/>
      <c r="B512" s="74"/>
      <c r="C512" s="8"/>
      <c r="D512" s="14"/>
      <c r="E512" s="8"/>
      <c r="F512" s="8"/>
      <c r="G512" s="8"/>
      <c r="H512" s="8"/>
      <c r="I512" s="8"/>
      <c r="J512" s="14"/>
    </row>
    <row r="513" ht="12.75" customHeight="1">
      <c r="A513" s="8"/>
      <c r="B513" s="74"/>
      <c r="C513" s="8"/>
      <c r="D513" s="14"/>
      <c r="E513" s="8"/>
      <c r="F513" s="8"/>
      <c r="G513" s="8"/>
      <c r="H513" s="8"/>
      <c r="I513" s="8"/>
      <c r="J513" s="14"/>
    </row>
    <row r="514" ht="12.75" customHeight="1">
      <c r="A514" s="8"/>
      <c r="B514" s="74"/>
      <c r="C514" s="8"/>
      <c r="D514" s="14"/>
      <c r="E514" s="8"/>
      <c r="F514" s="8"/>
      <c r="G514" s="8"/>
      <c r="H514" s="8"/>
      <c r="I514" s="8"/>
      <c r="J514" s="14"/>
    </row>
    <row r="515" ht="12.75" customHeight="1">
      <c r="A515" s="8"/>
      <c r="B515" s="74"/>
      <c r="C515" s="8"/>
      <c r="D515" s="14"/>
      <c r="E515" s="8"/>
      <c r="F515" s="8"/>
      <c r="G515" s="8"/>
      <c r="H515" s="8"/>
      <c r="I515" s="8"/>
      <c r="J515" s="14"/>
    </row>
    <row r="516" ht="12.75" customHeight="1">
      <c r="A516" s="8"/>
      <c r="B516" s="74"/>
      <c r="C516" s="8"/>
      <c r="D516" s="14"/>
      <c r="E516" s="8"/>
      <c r="F516" s="8"/>
      <c r="G516" s="8"/>
      <c r="H516" s="8"/>
      <c r="I516" s="8"/>
      <c r="J516" s="14"/>
    </row>
    <row r="517" ht="12.75" customHeight="1">
      <c r="A517" s="8"/>
      <c r="B517" s="74"/>
      <c r="C517" s="8"/>
      <c r="D517" s="14"/>
      <c r="E517" s="8"/>
      <c r="F517" s="8"/>
      <c r="G517" s="8"/>
      <c r="H517" s="8"/>
      <c r="I517" s="8"/>
      <c r="J517" s="14"/>
    </row>
    <row r="518" ht="12.75" customHeight="1">
      <c r="A518" s="8"/>
      <c r="B518" s="74"/>
      <c r="C518" s="8"/>
      <c r="D518" s="14"/>
      <c r="E518" s="8"/>
      <c r="F518" s="8"/>
      <c r="G518" s="8"/>
      <c r="H518" s="8"/>
      <c r="I518" s="8"/>
      <c r="J518" s="14"/>
    </row>
    <row r="519" ht="12.75" customHeight="1">
      <c r="A519" s="8"/>
      <c r="B519" s="74"/>
      <c r="C519" s="8"/>
      <c r="D519" s="14"/>
      <c r="E519" s="8"/>
      <c r="F519" s="8"/>
      <c r="G519" s="8"/>
      <c r="H519" s="8"/>
      <c r="I519" s="8"/>
      <c r="J519" s="14"/>
    </row>
    <row r="520" ht="12.75" customHeight="1">
      <c r="A520" s="8"/>
      <c r="B520" s="74"/>
      <c r="C520" s="8"/>
      <c r="D520" s="14"/>
      <c r="E520" s="8"/>
      <c r="F520" s="8"/>
      <c r="G520" s="8"/>
      <c r="H520" s="8"/>
      <c r="I520" s="8"/>
      <c r="J520" s="14"/>
    </row>
    <row r="521" ht="12.75" customHeight="1">
      <c r="A521" s="8"/>
      <c r="B521" s="74"/>
      <c r="C521" s="8"/>
      <c r="D521" s="14"/>
      <c r="E521" s="8"/>
      <c r="F521" s="8"/>
      <c r="G521" s="8"/>
      <c r="H521" s="8"/>
      <c r="I521" s="8"/>
      <c r="J521" s="14"/>
    </row>
    <row r="522" ht="12.75" customHeight="1">
      <c r="A522" s="8"/>
      <c r="B522" s="74"/>
      <c r="C522" s="8"/>
      <c r="D522" s="14"/>
      <c r="E522" s="8"/>
      <c r="F522" s="8"/>
      <c r="G522" s="8"/>
      <c r="H522" s="8"/>
      <c r="I522" s="8"/>
      <c r="J522" s="14"/>
    </row>
    <row r="523" ht="12.75" customHeight="1">
      <c r="A523" s="8"/>
      <c r="B523" s="74"/>
      <c r="C523" s="8"/>
      <c r="D523" s="14"/>
      <c r="E523" s="8"/>
      <c r="F523" s="8"/>
      <c r="G523" s="8"/>
      <c r="H523" s="8"/>
      <c r="I523" s="8"/>
      <c r="J523" s="14"/>
    </row>
    <row r="524" ht="12.75" customHeight="1">
      <c r="A524" s="8"/>
      <c r="B524" s="74"/>
      <c r="C524" s="8"/>
      <c r="D524" s="14"/>
      <c r="E524" s="8"/>
      <c r="F524" s="8"/>
      <c r="G524" s="8"/>
      <c r="H524" s="8"/>
      <c r="I524" s="8"/>
      <c r="J524" s="14"/>
    </row>
    <row r="525" ht="12.75" customHeight="1">
      <c r="A525" s="8"/>
      <c r="B525" s="74"/>
      <c r="C525" s="8"/>
      <c r="D525" s="14"/>
      <c r="E525" s="8"/>
      <c r="F525" s="8"/>
      <c r="G525" s="8"/>
      <c r="H525" s="8"/>
      <c r="I525" s="8"/>
      <c r="J525" s="14"/>
    </row>
    <row r="526" ht="12.75" customHeight="1">
      <c r="A526" s="8"/>
      <c r="B526" s="74"/>
      <c r="C526" s="8"/>
      <c r="D526" s="14"/>
      <c r="E526" s="8"/>
      <c r="F526" s="8"/>
      <c r="G526" s="8"/>
      <c r="H526" s="8"/>
      <c r="I526" s="8"/>
      <c r="J526" s="14"/>
    </row>
    <row r="527" ht="12.75" customHeight="1">
      <c r="A527" s="8"/>
      <c r="B527" s="74"/>
      <c r="C527" s="8"/>
      <c r="D527" s="14"/>
      <c r="E527" s="8"/>
      <c r="F527" s="8"/>
      <c r="G527" s="8"/>
      <c r="H527" s="8"/>
      <c r="I527" s="8"/>
      <c r="J527" s="14"/>
    </row>
    <row r="528" ht="12.75" customHeight="1">
      <c r="A528" s="8"/>
      <c r="B528" s="74"/>
      <c r="C528" s="8"/>
      <c r="D528" s="14"/>
      <c r="E528" s="8"/>
      <c r="F528" s="8"/>
      <c r="G528" s="8"/>
      <c r="H528" s="8"/>
      <c r="I528" s="8"/>
      <c r="J528" s="14"/>
    </row>
    <row r="529" ht="12.75" customHeight="1">
      <c r="A529" s="8"/>
      <c r="B529" s="74"/>
      <c r="C529" s="8"/>
      <c r="D529" s="14"/>
      <c r="E529" s="8"/>
      <c r="F529" s="8"/>
      <c r="G529" s="8"/>
      <c r="H529" s="8"/>
      <c r="I529" s="8"/>
      <c r="J529" s="14"/>
    </row>
    <row r="530" ht="12.75" customHeight="1">
      <c r="A530" s="8"/>
      <c r="B530" s="74"/>
      <c r="C530" s="8"/>
      <c r="D530" s="14"/>
      <c r="E530" s="8"/>
      <c r="F530" s="8"/>
      <c r="G530" s="8"/>
      <c r="H530" s="8"/>
      <c r="I530" s="8"/>
      <c r="J530" s="14"/>
    </row>
    <row r="531" ht="12.75" customHeight="1">
      <c r="A531" s="8"/>
      <c r="B531" s="74"/>
      <c r="C531" s="8"/>
      <c r="D531" s="14"/>
      <c r="E531" s="8"/>
      <c r="F531" s="8"/>
      <c r="G531" s="8"/>
      <c r="H531" s="8"/>
      <c r="I531" s="8"/>
      <c r="J531" s="14"/>
    </row>
    <row r="532" ht="12.75" customHeight="1">
      <c r="A532" s="8"/>
      <c r="B532" s="74"/>
      <c r="C532" s="8"/>
      <c r="D532" s="14"/>
      <c r="E532" s="8"/>
      <c r="F532" s="8"/>
      <c r="G532" s="8"/>
      <c r="H532" s="8"/>
      <c r="I532" s="8"/>
      <c r="J532" s="14"/>
    </row>
    <row r="533" ht="12.75" customHeight="1">
      <c r="A533" s="8"/>
      <c r="B533" s="74"/>
      <c r="C533" s="8"/>
      <c r="D533" s="14"/>
      <c r="E533" s="8"/>
      <c r="F533" s="8"/>
      <c r="G533" s="8"/>
      <c r="H533" s="8"/>
      <c r="I533" s="8"/>
      <c r="J533" s="14"/>
    </row>
    <row r="534" ht="12.75" customHeight="1">
      <c r="A534" s="8"/>
      <c r="B534" s="74"/>
      <c r="C534" s="8"/>
      <c r="D534" s="14"/>
      <c r="E534" s="8"/>
      <c r="F534" s="8"/>
      <c r="G534" s="8"/>
      <c r="H534" s="8"/>
      <c r="I534" s="8"/>
      <c r="J534" s="14"/>
    </row>
    <row r="535" ht="12.75" customHeight="1">
      <c r="A535" s="8"/>
      <c r="B535" s="74"/>
      <c r="C535" s="8"/>
      <c r="D535" s="14"/>
      <c r="E535" s="8"/>
      <c r="F535" s="8"/>
      <c r="G535" s="8"/>
      <c r="H535" s="8"/>
      <c r="I535" s="8"/>
      <c r="J535" s="14"/>
    </row>
    <row r="536" ht="12.75" customHeight="1">
      <c r="A536" s="8"/>
      <c r="B536" s="74"/>
      <c r="C536" s="8"/>
      <c r="D536" s="14"/>
      <c r="E536" s="8"/>
      <c r="F536" s="8"/>
      <c r="G536" s="8"/>
      <c r="H536" s="8"/>
      <c r="I536" s="8"/>
      <c r="J536" s="14"/>
    </row>
    <row r="537" ht="12.75" customHeight="1">
      <c r="A537" s="8"/>
      <c r="B537" s="74"/>
      <c r="C537" s="8"/>
      <c r="D537" s="14"/>
      <c r="E537" s="8"/>
      <c r="F537" s="8"/>
      <c r="G537" s="8"/>
      <c r="H537" s="8"/>
      <c r="I537" s="8"/>
      <c r="J537" s="14"/>
    </row>
    <row r="538" ht="12.75" customHeight="1">
      <c r="A538" s="8"/>
      <c r="B538" s="74"/>
      <c r="C538" s="8"/>
      <c r="D538" s="14"/>
      <c r="E538" s="8"/>
      <c r="F538" s="8"/>
      <c r="G538" s="8"/>
      <c r="H538" s="8"/>
      <c r="I538" s="8"/>
      <c r="J538" s="14"/>
    </row>
    <row r="539" ht="12.75" customHeight="1">
      <c r="A539" s="8"/>
      <c r="B539" s="74"/>
      <c r="C539" s="8"/>
      <c r="D539" s="14"/>
      <c r="E539" s="8"/>
      <c r="F539" s="8"/>
      <c r="G539" s="8"/>
      <c r="H539" s="8"/>
      <c r="I539" s="8"/>
      <c r="J539" s="14"/>
    </row>
    <row r="540" ht="12.75" customHeight="1">
      <c r="A540" s="8"/>
      <c r="B540" s="74"/>
      <c r="C540" s="8"/>
      <c r="D540" s="14"/>
      <c r="E540" s="8"/>
      <c r="F540" s="8"/>
      <c r="G540" s="8"/>
      <c r="H540" s="8"/>
      <c r="I540" s="8"/>
      <c r="J540" s="14"/>
    </row>
    <row r="541" ht="12.75" customHeight="1">
      <c r="A541" s="8"/>
      <c r="B541" s="74"/>
      <c r="C541" s="8"/>
      <c r="D541" s="14"/>
      <c r="E541" s="8"/>
      <c r="F541" s="8"/>
      <c r="G541" s="8"/>
      <c r="H541" s="8"/>
      <c r="I541" s="8"/>
      <c r="J541" s="14"/>
    </row>
    <row r="542" ht="12.75" customHeight="1">
      <c r="A542" s="8"/>
      <c r="B542" s="74"/>
      <c r="C542" s="8"/>
      <c r="D542" s="14"/>
      <c r="E542" s="8"/>
      <c r="F542" s="8"/>
      <c r="G542" s="8"/>
      <c r="H542" s="8"/>
      <c r="I542" s="8"/>
      <c r="J542" s="14"/>
    </row>
    <row r="543" ht="12.75" customHeight="1">
      <c r="A543" s="8"/>
      <c r="B543" s="74"/>
      <c r="C543" s="8"/>
      <c r="D543" s="14"/>
      <c r="E543" s="8"/>
      <c r="F543" s="8"/>
      <c r="G543" s="8"/>
      <c r="H543" s="8"/>
      <c r="I543" s="8"/>
      <c r="J543" s="14"/>
    </row>
    <row r="544" ht="12.75" customHeight="1">
      <c r="A544" s="8"/>
      <c r="B544" s="74"/>
      <c r="C544" s="8"/>
      <c r="D544" s="14"/>
      <c r="E544" s="8"/>
      <c r="F544" s="8"/>
      <c r="G544" s="8"/>
      <c r="H544" s="8"/>
      <c r="I544" s="8"/>
      <c r="J544" s="14"/>
    </row>
    <row r="545" ht="12.75" customHeight="1">
      <c r="A545" s="8"/>
      <c r="B545" s="74"/>
      <c r="C545" s="8"/>
      <c r="D545" s="14"/>
      <c r="E545" s="8"/>
      <c r="F545" s="8"/>
      <c r="G545" s="8"/>
      <c r="H545" s="8"/>
      <c r="I545" s="8"/>
      <c r="J545" s="14"/>
    </row>
    <row r="546" ht="12.75" customHeight="1">
      <c r="A546" s="8"/>
      <c r="B546" s="74"/>
      <c r="C546" s="8"/>
      <c r="D546" s="14"/>
      <c r="E546" s="8"/>
      <c r="F546" s="8"/>
      <c r="G546" s="8"/>
      <c r="H546" s="8"/>
      <c r="I546" s="8"/>
      <c r="J546" s="14"/>
    </row>
    <row r="547" ht="12.75" customHeight="1">
      <c r="A547" s="8"/>
      <c r="B547" s="74"/>
      <c r="C547" s="8"/>
      <c r="D547" s="14"/>
      <c r="E547" s="8"/>
      <c r="F547" s="8"/>
      <c r="G547" s="8"/>
      <c r="H547" s="8"/>
      <c r="I547" s="8"/>
      <c r="J547" s="14"/>
    </row>
    <row r="548" ht="12.75" customHeight="1">
      <c r="A548" s="8"/>
      <c r="B548" s="74"/>
      <c r="C548" s="8"/>
      <c r="D548" s="14"/>
      <c r="E548" s="8"/>
      <c r="F548" s="8"/>
      <c r="G548" s="8"/>
      <c r="H548" s="8"/>
      <c r="I548" s="8"/>
      <c r="J548" s="14"/>
    </row>
    <row r="549" ht="12.75" customHeight="1">
      <c r="A549" s="8"/>
      <c r="B549" s="74"/>
      <c r="C549" s="8"/>
      <c r="D549" s="14"/>
      <c r="E549" s="8"/>
      <c r="F549" s="8"/>
      <c r="G549" s="8"/>
      <c r="H549" s="8"/>
      <c r="I549" s="8"/>
      <c r="J549" s="14"/>
    </row>
    <row r="550" ht="12.75" customHeight="1">
      <c r="A550" s="8"/>
      <c r="B550" s="74"/>
      <c r="C550" s="8"/>
      <c r="D550" s="14"/>
      <c r="E550" s="8"/>
      <c r="F550" s="8"/>
      <c r="G550" s="8"/>
      <c r="H550" s="8"/>
      <c r="I550" s="8"/>
      <c r="J550" s="14"/>
    </row>
    <row r="551" ht="12.75" customHeight="1">
      <c r="A551" s="8"/>
      <c r="B551" s="74"/>
      <c r="C551" s="8"/>
      <c r="D551" s="14"/>
      <c r="E551" s="8"/>
      <c r="F551" s="8"/>
      <c r="G551" s="8"/>
      <c r="H551" s="8"/>
      <c r="I551" s="8"/>
      <c r="J551" s="14"/>
    </row>
    <row r="552" ht="12.75" customHeight="1">
      <c r="A552" s="8"/>
      <c r="B552" s="74"/>
      <c r="C552" s="8"/>
      <c r="D552" s="14"/>
      <c r="E552" s="8"/>
      <c r="F552" s="8"/>
      <c r="G552" s="8"/>
      <c r="H552" s="8"/>
      <c r="I552" s="8"/>
      <c r="J552" s="14"/>
    </row>
    <row r="553" ht="12.75" customHeight="1">
      <c r="A553" s="8"/>
      <c r="B553" s="74"/>
      <c r="C553" s="8"/>
      <c r="D553" s="14"/>
      <c r="E553" s="8"/>
      <c r="F553" s="8"/>
      <c r="G553" s="8"/>
      <c r="H553" s="8"/>
      <c r="I553" s="8"/>
      <c r="J553" s="14"/>
    </row>
    <row r="554" ht="12.75" customHeight="1">
      <c r="A554" s="8"/>
      <c r="B554" s="74"/>
      <c r="C554" s="8"/>
      <c r="D554" s="14"/>
      <c r="E554" s="8"/>
      <c r="F554" s="8"/>
      <c r="G554" s="8"/>
      <c r="H554" s="8"/>
      <c r="I554" s="8"/>
      <c r="J554" s="14"/>
    </row>
    <row r="555" ht="12.75" customHeight="1">
      <c r="A555" s="8"/>
      <c r="B555" s="74"/>
      <c r="C555" s="8"/>
      <c r="D555" s="14"/>
      <c r="E555" s="8"/>
      <c r="F555" s="8"/>
      <c r="G555" s="8"/>
      <c r="H555" s="8"/>
      <c r="I555" s="8"/>
      <c r="J555" s="14"/>
    </row>
    <row r="556" ht="12.75" customHeight="1">
      <c r="A556" s="8"/>
      <c r="B556" s="74"/>
      <c r="C556" s="8"/>
      <c r="D556" s="14"/>
      <c r="E556" s="8"/>
      <c r="F556" s="8"/>
      <c r="G556" s="8"/>
      <c r="H556" s="8"/>
      <c r="I556" s="8"/>
      <c r="J556" s="14"/>
    </row>
    <row r="557" ht="12.75" customHeight="1">
      <c r="A557" s="8"/>
      <c r="B557" s="74"/>
      <c r="C557" s="8"/>
      <c r="D557" s="14"/>
      <c r="E557" s="8"/>
      <c r="F557" s="8"/>
      <c r="G557" s="8"/>
      <c r="H557" s="8"/>
      <c r="I557" s="8"/>
      <c r="J557" s="14"/>
    </row>
    <row r="558" ht="12.75" customHeight="1">
      <c r="A558" s="8"/>
      <c r="B558" s="74"/>
      <c r="C558" s="8"/>
      <c r="D558" s="14"/>
      <c r="E558" s="8"/>
      <c r="F558" s="8"/>
      <c r="G558" s="8"/>
      <c r="H558" s="8"/>
      <c r="I558" s="8"/>
      <c r="J558" s="14"/>
    </row>
    <row r="559" ht="12.75" customHeight="1">
      <c r="A559" s="8"/>
      <c r="B559" s="74"/>
      <c r="C559" s="8"/>
      <c r="D559" s="14"/>
      <c r="E559" s="8"/>
      <c r="F559" s="8"/>
      <c r="G559" s="8"/>
      <c r="H559" s="8"/>
      <c r="I559" s="8"/>
      <c r="J559" s="14"/>
    </row>
    <row r="560" ht="12.75" customHeight="1">
      <c r="A560" s="8"/>
      <c r="B560" s="74"/>
      <c r="C560" s="8"/>
      <c r="D560" s="14"/>
      <c r="E560" s="8"/>
      <c r="F560" s="8"/>
      <c r="G560" s="8"/>
      <c r="H560" s="8"/>
      <c r="I560" s="8"/>
      <c r="J560" s="14"/>
    </row>
    <row r="561" ht="12.75" customHeight="1">
      <c r="A561" s="8"/>
      <c r="B561" s="74"/>
      <c r="C561" s="8"/>
      <c r="D561" s="14"/>
      <c r="E561" s="8"/>
      <c r="F561" s="8"/>
      <c r="G561" s="8"/>
      <c r="H561" s="8"/>
      <c r="I561" s="8"/>
      <c r="J561" s="14"/>
    </row>
    <row r="562" ht="12.75" customHeight="1">
      <c r="A562" s="8"/>
      <c r="B562" s="74"/>
      <c r="C562" s="8"/>
      <c r="D562" s="14"/>
      <c r="E562" s="8"/>
      <c r="F562" s="8"/>
      <c r="G562" s="8"/>
      <c r="H562" s="8"/>
      <c r="I562" s="8"/>
      <c r="J562" s="14"/>
    </row>
    <row r="563" ht="12.75" customHeight="1">
      <c r="A563" s="8"/>
      <c r="B563" s="74"/>
      <c r="C563" s="8"/>
      <c r="D563" s="14"/>
      <c r="E563" s="8"/>
      <c r="F563" s="8"/>
      <c r="G563" s="8"/>
      <c r="H563" s="8"/>
      <c r="I563" s="8"/>
      <c r="J563" s="14"/>
    </row>
    <row r="564" ht="12.75" customHeight="1">
      <c r="A564" s="8"/>
      <c r="B564" s="74"/>
      <c r="C564" s="8"/>
      <c r="D564" s="14"/>
      <c r="E564" s="8"/>
      <c r="F564" s="8"/>
      <c r="G564" s="8"/>
      <c r="H564" s="8"/>
      <c r="I564" s="8"/>
      <c r="J564" s="14"/>
    </row>
    <row r="565" ht="12.75" customHeight="1">
      <c r="A565" s="8"/>
      <c r="B565" s="74"/>
      <c r="C565" s="8"/>
      <c r="D565" s="14"/>
      <c r="E565" s="8"/>
      <c r="F565" s="8"/>
      <c r="G565" s="8"/>
      <c r="H565" s="8"/>
      <c r="I565" s="8"/>
      <c r="J565" s="14"/>
    </row>
    <row r="566" ht="12.75" customHeight="1">
      <c r="A566" s="8"/>
      <c r="B566" s="74"/>
      <c r="C566" s="8"/>
      <c r="D566" s="14"/>
      <c r="E566" s="8"/>
      <c r="F566" s="8"/>
      <c r="G566" s="8"/>
      <c r="H566" s="8"/>
      <c r="I566" s="8"/>
      <c r="J566" s="14"/>
    </row>
    <row r="567" ht="12.75" customHeight="1">
      <c r="A567" s="8"/>
      <c r="B567" s="74"/>
      <c r="C567" s="8"/>
      <c r="D567" s="14"/>
      <c r="E567" s="8"/>
      <c r="F567" s="8"/>
      <c r="G567" s="8"/>
      <c r="H567" s="8"/>
      <c r="I567" s="8"/>
      <c r="J567" s="14"/>
    </row>
    <row r="568" ht="12.75" customHeight="1">
      <c r="A568" s="8"/>
      <c r="B568" s="74"/>
      <c r="C568" s="8"/>
      <c r="D568" s="14"/>
      <c r="E568" s="8"/>
      <c r="F568" s="8"/>
      <c r="G568" s="8"/>
      <c r="H568" s="8"/>
      <c r="I568" s="8"/>
      <c r="J568" s="14"/>
    </row>
    <row r="569" ht="12.75" customHeight="1">
      <c r="A569" s="8"/>
      <c r="B569" s="74"/>
      <c r="C569" s="8"/>
      <c r="D569" s="14"/>
      <c r="E569" s="8"/>
      <c r="F569" s="8"/>
      <c r="G569" s="8"/>
      <c r="H569" s="8"/>
      <c r="I569" s="8"/>
      <c r="J569" s="14"/>
    </row>
    <row r="570" ht="12.75" customHeight="1">
      <c r="A570" s="8"/>
      <c r="B570" s="74"/>
      <c r="C570" s="8"/>
      <c r="D570" s="14"/>
      <c r="E570" s="8"/>
      <c r="F570" s="8"/>
      <c r="G570" s="8"/>
      <c r="H570" s="8"/>
      <c r="I570" s="8"/>
      <c r="J570" s="14"/>
    </row>
    <row r="571" ht="12.75" customHeight="1">
      <c r="A571" s="8"/>
      <c r="B571" s="74"/>
      <c r="C571" s="8"/>
      <c r="D571" s="14"/>
      <c r="E571" s="8"/>
      <c r="F571" s="8"/>
      <c r="G571" s="8"/>
      <c r="H571" s="8"/>
      <c r="I571" s="8"/>
      <c r="J571" s="14"/>
    </row>
    <row r="572" ht="12.75" customHeight="1">
      <c r="A572" s="8"/>
      <c r="B572" s="74"/>
      <c r="C572" s="8"/>
      <c r="D572" s="14"/>
      <c r="E572" s="8"/>
      <c r="F572" s="8"/>
      <c r="G572" s="8"/>
      <c r="H572" s="8"/>
      <c r="I572" s="8"/>
      <c r="J572" s="14"/>
    </row>
    <row r="573" ht="12.75" customHeight="1">
      <c r="A573" s="8"/>
      <c r="B573" s="74"/>
      <c r="C573" s="8"/>
      <c r="D573" s="14"/>
      <c r="E573" s="8"/>
      <c r="F573" s="8"/>
      <c r="G573" s="8"/>
      <c r="H573" s="8"/>
      <c r="I573" s="8"/>
      <c r="J573" s="14"/>
    </row>
    <row r="574" ht="12.75" customHeight="1">
      <c r="A574" s="8"/>
      <c r="B574" s="74"/>
      <c r="C574" s="8"/>
      <c r="D574" s="14"/>
      <c r="E574" s="8"/>
      <c r="F574" s="8"/>
      <c r="G574" s="8"/>
      <c r="H574" s="8"/>
      <c r="I574" s="8"/>
      <c r="J574" s="14"/>
    </row>
    <row r="575" ht="12.75" customHeight="1">
      <c r="A575" s="8"/>
      <c r="B575" s="74"/>
      <c r="C575" s="8"/>
      <c r="D575" s="14"/>
      <c r="E575" s="8"/>
      <c r="F575" s="8"/>
      <c r="G575" s="8"/>
      <c r="H575" s="8"/>
      <c r="I575" s="8"/>
      <c r="J575" s="14"/>
    </row>
    <row r="576" ht="12.75" customHeight="1">
      <c r="A576" s="8"/>
      <c r="B576" s="74"/>
      <c r="C576" s="8"/>
      <c r="D576" s="14"/>
      <c r="E576" s="8"/>
      <c r="F576" s="8"/>
      <c r="G576" s="8"/>
      <c r="H576" s="8"/>
      <c r="I576" s="8"/>
      <c r="J576" s="14"/>
    </row>
    <row r="577" ht="12.75" customHeight="1">
      <c r="A577" s="8"/>
      <c r="B577" s="74"/>
      <c r="C577" s="8"/>
      <c r="D577" s="14"/>
      <c r="E577" s="8"/>
      <c r="F577" s="8"/>
      <c r="G577" s="8"/>
      <c r="H577" s="8"/>
      <c r="I577" s="8"/>
      <c r="J577" s="14"/>
    </row>
    <row r="578" ht="12.75" customHeight="1">
      <c r="A578" s="8"/>
      <c r="B578" s="74"/>
      <c r="C578" s="8"/>
      <c r="D578" s="14"/>
      <c r="E578" s="8"/>
      <c r="F578" s="8"/>
      <c r="G578" s="8"/>
      <c r="H578" s="8"/>
      <c r="I578" s="8"/>
      <c r="J578" s="14"/>
    </row>
    <row r="579" ht="12.75" customHeight="1">
      <c r="A579" s="8"/>
      <c r="B579" s="74"/>
      <c r="C579" s="8"/>
      <c r="D579" s="14"/>
      <c r="E579" s="8"/>
      <c r="F579" s="8"/>
      <c r="G579" s="8"/>
      <c r="H579" s="8"/>
      <c r="I579" s="8"/>
      <c r="J579" s="14"/>
    </row>
    <row r="580" ht="12.75" customHeight="1">
      <c r="A580" s="8"/>
      <c r="B580" s="74"/>
      <c r="C580" s="8"/>
      <c r="D580" s="14"/>
      <c r="E580" s="8"/>
      <c r="F580" s="8"/>
      <c r="G580" s="8"/>
      <c r="H580" s="8"/>
      <c r="I580" s="8"/>
      <c r="J580" s="14"/>
    </row>
    <row r="581" ht="12.75" customHeight="1">
      <c r="A581" s="8"/>
      <c r="B581" s="74"/>
      <c r="C581" s="8"/>
      <c r="D581" s="14"/>
      <c r="E581" s="8"/>
      <c r="F581" s="8"/>
      <c r="G581" s="8"/>
      <c r="H581" s="8"/>
      <c r="I581" s="8"/>
      <c r="J581" s="14"/>
    </row>
    <row r="582" ht="12.75" customHeight="1">
      <c r="A582" s="8"/>
      <c r="B582" s="74"/>
      <c r="C582" s="8"/>
      <c r="D582" s="14"/>
      <c r="E582" s="8"/>
      <c r="F582" s="8"/>
      <c r="G582" s="8"/>
      <c r="H582" s="8"/>
      <c r="I582" s="8"/>
      <c r="J582" s="14"/>
    </row>
    <row r="583" ht="12.75" customHeight="1">
      <c r="A583" s="8"/>
      <c r="B583" s="74"/>
      <c r="C583" s="8"/>
      <c r="D583" s="14"/>
      <c r="E583" s="8"/>
      <c r="F583" s="8"/>
      <c r="G583" s="8"/>
      <c r="H583" s="8"/>
      <c r="I583" s="8"/>
      <c r="J583" s="14"/>
    </row>
    <row r="584" ht="12.75" customHeight="1">
      <c r="A584" s="8"/>
      <c r="B584" s="74"/>
      <c r="C584" s="8"/>
      <c r="D584" s="14"/>
      <c r="E584" s="8"/>
      <c r="F584" s="8"/>
      <c r="G584" s="8"/>
      <c r="H584" s="8"/>
      <c r="I584" s="8"/>
      <c r="J584" s="14"/>
    </row>
    <row r="585" ht="12.75" customHeight="1">
      <c r="A585" s="8"/>
      <c r="B585" s="74"/>
      <c r="C585" s="8"/>
      <c r="D585" s="14"/>
      <c r="E585" s="8"/>
      <c r="F585" s="8"/>
      <c r="G585" s="8"/>
      <c r="H585" s="8"/>
      <c r="I585" s="8"/>
      <c r="J585" s="14"/>
    </row>
    <row r="586" ht="12.75" customHeight="1">
      <c r="A586" s="8"/>
      <c r="B586" s="74"/>
      <c r="C586" s="8"/>
      <c r="D586" s="14"/>
      <c r="E586" s="8"/>
      <c r="F586" s="8"/>
      <c r="G586" s="8"/>
      <c r="H586" s="8"/>
      <c r="I586" s="8"/>
      <c r="J586" s="14"/>
    </row>
    <row r="587" ht="12.75" customHeight="1">
      <c r="A587" s="8"/>
      <c r="B587" s="74"/>
      <c r="C587" s="8"/>
      <c r="D587" s="14"/>
      <c r="E587" s="8"/>
      <c r="F587" s="8"/>
      <c r="G587" s="8"/>
      <c r="H587" s="8"/>
      <c r="I587" s="8"/>
      <c r="J587" s="14"/>
    </row>
    <row r="588" ht="12.75" customHeight="1">
      <c r="A588" s="8"/>
      <c r="B588" s="74"/>
      <c r="C588" s="8"/>
      <c r="D588" s="14"/>
      <c r="E588" s="8"/>
      <c r="F588" s="8"/>
      <c r="G588" s="8"/>
      <c r="H588" s="8"/>
      <c r="I588" s="8"/>
      <c r="J588" s="14"/>
    </row>
    <row r="589" ht="12.75" customHeight="1">
      <c r="A589" s="8"/>
      <c r="B589" s="74"/>
      <c r="C589" s="8"/>
      <c r="D589" s="14"/>
      <c r="E589" s="8"/>
      <c r="F589" s="8"/>
      <c r="G589" s="8"/>
      <c r="H589" s="8"/>
      <c r="I589" s="8"/>
      <c r="J589" s="14"/>
    </row>
    <row r="590" ht="12.75" customHeight="1">
      <c r="A590" s="8"/>
      <c r="B590" s="74"/>
      <c r="C590" s="8"/>
      <c r="D590" s="14"/>
      <c r="E590" s="8"/>
      <c r="F590" s="8"/>
      <c r="G590" s="8"/>
      <c r="H590" s="8"/>
      <c r="I590" s="8"/>
      <c r="J590" s="14"/>
    </row>
    <row r="591" ht="12.75" customHeight="1">
      <c r="A591" s="8"/>
      <c r="B591" s="74"/>
      <c r="C591" s="8"/>
      <c r="D591" s="14"/>
      <c r="E591" s="8"/>
      <c r="F591" s="8"/>
      <c r="G591" s="8"/>
      <c r="H591" s="8"/>
      <c r="I591" s="8"/>
      <c r="J591" s="14"/>
    </row>
    <row r="592" ht="12.75" customHeight="1">
      <c r="A592" s="8"/>
      <c r="B592" s="74"/>
      <c r="C592" s="8"/>
      <c r="D592" s="14"/>
      <c r="E592" s="8"/>
      <c r="F592" s="8"/>
      <c r="G592" s="8"/>
      <c r="H592" s="8"/>
      <c r="I592" s="8"/>
      <c r="J592" s="14"/>
    </row>
    <row r="593" ht="12.75" customHeight="1">
      <c r="A593" s="8"/>
      <c r="B593" s="74"/>
      <c r="C593" s="8"/>
      <c r="D593" s="14"/>
      <c r="E593" s="8"/>
      <c r="F593" s="8"/>
      <c r="G593" s="8"/>
      <c r="H593" s="8"/>
      <c r="I593" s="8"/>
      <c r="J593" s="14"/>
    </row>
    <row r="594" ht="12.75" customHeight="1">
      <c r="A594" s="8"/>
      <c r="B594" s="74"/>
      <c r="C594" s="8"/>
      <c r="D594" s="14"/>
      <c r="E594" s="8"/>
      <c r="F594" s="8"/>
      <c r="G594" s="8"/>
      <c r="H594" s="8"/>
      <c r="I594" s="8"/>
      <c r="J594" s="14"/>
    </row>
    <row r="595" ht="12.75" customHeight="1">
      <c r="A595" s="8"/>
      <c r="B595" s="74"/>
      <c r="C595" s="8"/>
      <c r="D595" s="14"/>
      <c r="E595" s="8"/>
      <c r="F595" s="8"/>
      <c r="G595" s="8"/>
      <c r="H595" s="8"/>
      <c r="I595" s="8"/>
      <c r="J595" s="14"/>
    </row>
    <row r="596" ht="12.75" customHeight="1">
      <c r="A596" s="8"/>
      <c r="B596" s="74"/>
      <c r="C596" s="8"/>
      <c r="D596" s="14"/>
      <c r="E596" s="8"/>
      <c r="F596" s="8"/>
      <c r="G596" s="8"/>
      <c r="H596" s="8"/>
      <c r="I596" s="8"/>
      <c r="J596" s="14"/>
    </row>
    <row r="597" ht="12.75" customHeight="1">
      <c r="A597" s="8"/>
      <c r="B597" s="74"/>
      <c r="C597" s="8"/>
      <c r="D597" s="14"/>
      <c r="E597" s="8"/>
      <c r="F597" s="8"/>
      <c r="G597" s="8"/>
      <c r="H597" s="8"/>
      <c r="I597" s="8"/>
      <c r="J597" s="14"/>
    </row>
    <row r="598" ht="12.75" customHeight="1">
      <c r="A598" s="8"/>
      <c r="B598" s="74"/>
      <c r="C598" s="8"/>
      <c r="D598" s="14"/>
      <c r="E598" s="8"/>
      <c r="F598" s="8"/>
      <c r="G598" s="8"/>
      <c r="H598" s="8"/>
      <c r="I598" s="8"/>
      <c r="J598" s="14"/>
    </row>
    <row r="599" ht="12.75" customHeight="1">
      <c r="A599" s="8"/>
      <c r="B599" s="74"/>
      <c r="C599" s="8"/>
      <c r="D599" s="14"/>
      <c r="E599" s="8"/>
      <c r="F599" s="8"/>
      <c r="G599" s="8"/>
      <c r="H599" s="8"/>
      <c r="I599" s="8"/>
      <c r="J599" s="14"/>
    </row>
    <row r="600" ht="12.75" customHeight="1">
      <c r="A600" s="8"/>
      <c r="B600" s="74"/>
      <c r="C600" s="8"/>
      <c r="D600" s="14"/>
      <c r="E600" s="8"/>
      <c r="F600" s="8"/>
      <c r="G600" s="8"/>
      <c r="H600" s="8"/>
      <c r="I600" s="8"/>
      <c r="J600" s="14"/>
    </row>
    <row r="601" ht="12.75" customHeight="1">
      <c r="A601" s="8"/>
      <c r="B601" s="74"/>
      <c r="C601" s="8"/>
      <c r="D601" s="14"/>
      <c r="E601" s="8"/>
      <c r="F601" s="8"/>
      <c r="G601" s="8"/>
      <c r="H601" s="8"/>
      <c r="I601" s="8"/>
      <c r="J601" s="14"/>
    </row>
    <row r="602" ht="12.75" customHeight="1">
      <c r="A602" s="8"/>
      <c r="B602" s="74"/>
      <c r="C602" s="8"/>
      <c r="D602" s="14"/>
      <c r="E602" s="8"/>
      <c r="F602" s="8"/>
      <c r="G602" s="8"/>
      <c r="H602" s="8"/>
      <c r="I602" s="8"/>
      <c r="J602" s="14"/>
    </row>
    <row r="603" ht="12.75" customHeight="1">
      <c r="A603" s="8"/>
      <c r="B603" s="74"/>
      <c r="C603" s="8"/>
      <c r="D603" s="14"/>
      <c r="E603" s="8"/>
      <c r="F603" s="8"/>
      <c r="G603" s="8"/>
      <c r="H603" s="8"/>
      <c r="I603" s="8"/>
      <c r="J603" s="14"/>
    </row>
    <row r="604" ht="12.75" customHeight="1">
      <c r="A604" s="8"/>
      <c r="B604" s="74"/>
      <c r="C604" s="8"/>
      <c r="D604" s="14"/>
      <c r="E604" s="8"/>
      <c r="F604" s="8"/>
      <c r="G604" s="8"/>
      <c r="H604" s="8"/>
      <c r="I604" s="8"/>
      <c r="J604" s="14"/>
    </row>
    <row r="605" ht="12.75" customHeight="1">
      <c r="A605" s="8"/>
      <c r="B605" s="74"/>
      <c r="C605" s="8"/>
      <c r="D605" s="14"/>
      <c r="E605" s="8"/>
      <c r="F605" s="8"/>
      <c r="G605" s="8"/>
      <c r="H605" s="8"/>
      <c r="I605" s="8"/>
      <c r="J605" s="14"/>
    </row>
    <row r="606" ht="12.75" customHeight="1">
      <c r="A606" s="8"/>
      <c r="B606" s="74"/>
      <c r="C606" s="8"/>
      <c r="D606" s="14"/>
      <c r="E606" s="8"/>
      <c r="F606" s="8"/>
      <c r="G606" s="8"/>
      <c r="H606" s="8"/>
      <c r="I606" s="8"/>
      <c r="J606" s="14"/>
    </row>
    <row r="607" ht="12.75" customHeight="1">
      <c r="A607" s="8"/>
      <c r="B607" s="74"/>
      <c r="C607" s="8"/>
      <c r="D607" s="14"/>
      <c r="E607" s="8"/>
      <c r="F607" s="8"/>
      <c r="G607" s="8"/>
      <c r="H607" s="8"/>
      <c r="I607" s="8"/>
      <c r="J607" s="14"/>
    </row>
    <row r="608" ht="12.75" customHeight="1">
      <c r="A608" s="8"/>
      <c r="B608" s="74"/>
      <c r="C608" s="8"/>
      <c r="D608" s="14"/>
      <c r="E608" s="8"/>
      <c r="F608" s="8"/>
      <c r="G608" s="8"/>
      <c r="H608" s="8"/>
      <c r="I608" s="8"/>
      <c r="J608" s="14"/>
    </row>
    <row r="609" ht="12.75" customHeight="1">
      <c r="A609" s="8"/>
      <c r="B609" s="74"/>
      <c r="C609" s="8"/>
      <c r="D609" s="14"/>
      <c r="E609" s="8"/>
      <c r="F609" s="8"/>
      <c r="G609" s="8"/>
      <c r="H609" s="8"/>
      <c r="I609" s="8"/>
      <c r="J609" s="14"/>
    </row>
    <row r="610" ht="12.75" customHeight="1">
      <c r="A610" s="8"/>
      <c r="B610" s="74"/>
      <c r="C610" s="8"/>
      <c r="D610" s="14"/>
      <c r="E610" s="8"/>
      <c r="F610" s="8"/>
      <c r="G610" s="8"/>
      <c r="H610" s="8"/>
      <c r="I610" s="8"/>
      <c r="J610" s="14"/>
    </row>
    <row r="611" ht="12.75" customHeight="1">
      <c r="A611" s="8"/>
      <c r="B611" s="74"/>
      <c r="C611" s="8"/>
      <c r="D611" s="14"/>
      <c r="E611" s="8"/>
      <c r="F611" s="8"/>
      <c r="G611" s="8"/>
      <c r="H611" s="8"/>
      <c r="I611" s="8"/>
      <c r="J611" s="14"/>
    </row>
    <row r="612" ht="12.75" customHeight="1">
      <c r="A612" s="8"/>
      <c r="B612" s="74"/>
      <c r="C612" s="8"/>
      <c r="D612" s="14"/>
      <c r="E612" s="8"/>
      <c r="F612" s="8"/>
      <c r="G612" s="8"/>
      <c r="H612" s="8"/>
      <c r="I612" s="8"/>
      <c r="J612" s="14"/>
    </row>
    <row r="613" ht="12.75" customHeight="1">
      <c r="A613" s="8"/>
      <c r="B613" s="74"/>
      <c r="C613" s="8"/>
      <c r="D613" s="14"/>
      <c r="E613" s="8"/>
      <c r="F613" s="8"/>
      <c r="G613" s="8"/>
      <c r="H613" s="8"/>
      <c r="I613" s="8"/>
      <c r="J613" s="14"/>
    </row>
    <row r="614" ht="12.75" customHeight="1">
      <c r="A614" s="8"/>
      <c r="B614" s="74"/>
      <c r="C614" s="8"/>
      <c r="D614" s="14"/>
      <c r="E614" s="8"/>
      <c r="F614" s="8"/>
      <c r="G614" s="8"/>
      <c r="H614" s="8"/>
      <c r="I614" s="8"/>
      <c r="J614" s="14"/>
    </row>
    <row r="615" ht="12.75" customHeight="1">
      <c r="A615" s="8"/>
      <c r="B615" s="74"/>
      <c r="C615" s="8"/>
      <c r="D615" s="14"/>
      <c r="E615" s="8"/>
      <c r="F615" s="8"/>
      <c r="G615" s="8"/>
      <c r="H615" s="8"/>
      <c r="I615" s="8"/>
      <c r="J615" s="14"/>
    </row>
    <row r="616" ht="12.75" customHeight="1">
      <c r="A616" s="8"/>
      <c r="B616" s="74"/>
      <c r="C616" s="8"/>
      <c r="D616" s="14"/>
      <c r="E616" s="8"/>
      <c r="F616" s="8"/>
      <c r="G616" s="8"/>
      <c r="H616" s="8"/>
      <c r="I616" s="8"/>
      <c r="J616" s="14"/>
    </row>
    <row r="617" ht="12.75" customHeight="1">
      <c r="A617" s="8"/>
      <c r="B617" s="74"/>
      <c r="C617" s="8"/>
      <c r="D617" s="14"/>
      <c r="E617" s="8"/>
      <c r="F617" s="8"/>
      <c r="G617" s="8"/>
      <c r="H617" s="8"/>
      <c r="I617" s="8"/>
      <c r="J617" s="14"/>
    </row>
    <row r="618" ht="12.75" customHeight="1">
      <c r="A618" s="8"/>
      <c r="B618" s="74"/>
      <c r="C618" s="8"/>
      <c r="D618" s="14"/>
      <c r="E618" s="8"/>
      <c r="F618" s="8"/>
      <c r="G618" s="8"/>
      <c r="H618" s="8"/>
      <c r="I618" s="8"/>
      <c r="J618" s="14"/>
    </row>
    <row r="619" ht="12.75" customHeight="1">
      <c r="A619" s="8"/>
      <c r="B619" s="74"/>
      <c r="C619" s="8"/>
      <c r="D619" s="14"/>
      <c r="E619" s="8"/>
      <c r="F619" s="8"/>
      <c r="G619" s="8"/>
      <c r="H619" s="8"/>
      <c r="I619" s="8"/>
      <c r="J619" s="14"/>
    </row>
    <row r="620" ht="12.75" customHeight="1">
      <c r="A620" s="8"/>
      <c r="B620" s="74"/>
      <c r="C620" s="8"/>
      <c r="D620" s="14"/>
      <c r="E620" s="8"/>
      <c r="F620" s="8"/>
      <c r="G620" s="8"/>
      <c r="H620" s="8"/>
      <c r="I620" s="8"/>
      <c r="J620" s="14"/>
    </row>
    <row r="621" ht="12.75" customHeight="1">
      <c r="A621" s="8"/>
      <c r="B621" s="74"/>
      <c r="C621" s="8"/>
      <c r="D621" s="14"/>
      <c r="E621" s="8"/>
      <c r="F621" s="8"/>
      <c r="G621" s="8"/>
      <c r="H621" s="8"/>
      <c r="I621" s="8"/>
      <c r="J621" s="14"/>
    </row>
    <row r="622" ht="12.75" customHeight="1">
      <c r="A622" s="8"/>
      <c r="B622" s="74"/>
      <c r="C622" s="8"/>
      <c r="D622" s="14"/>
      <c r="E622" s="8"/>
      <c r="F622" s="8"/>
      <c r="G622" s="8"/>
      <c r="H622" s="8"/>
      <c r="I622" s="8"/>
      <c r="J622" s="14"/>
    </row>
    <row r="623" ht="12.75" customHeight="1">
      <c r="A623" s="8"/>
      <c r="B623" s="74"/>
      <c r="C623" s="8"/>
      <c r="D623" s="14"/>
      <c r="E623" s="8"/>
      <c r="F623" s="8"/>
      <c r="G623" s="8"/>
      <c r="H623" s="8"/>
      <c r="I623" s="8"/>
      <c r="J623" s="14"/>
    </row>
    <row r="624" ht="12.75" customHeight="1">
      <c r="A624" s="8"/>
      <c r="B624" s="74"/>
      <c r="C624" s="8"/>
      <c r="D624" s="14"/>
      <c r="E624" s="8"/>
      <c r="F624" s="8"/>
      <c r="G624" s="8"/>
      <c r="H624" s="8"/>
      <c r="I624" s="8"/>
      <c r="J624" s="14"/>
    </row>
    <row r="625" ht="12.75" customHeight="1">
      <c r="A625" s="8"/>
      <c r="B625" s="74"/>
      <c r="C625" s="8"/>
      <c r="D625" s="14"/>
      <c r="E625" s="8"/>
      <c r="F625" s="8"/>
      <c r="G625" s="8"/>
      <c r="H625" s="8"/>
      <c r="I625" s="8"/>
      <c r="J625" s="14"/>
    </row>
    <row r="626" ht="12.75" customHeight="1">
      <c r="A626" s="8"/>
      <c r="B626" s="74"/>
      <c r="C626" s="8"/>
      <c r="D626" s="14"/>
      <c r="E626" s="8"/>
      <c r="F626" s="8"/>
      <c r="G626" s="8"/>
      <c r="H626" s="8"/>
      <c r="I626" s="8"/>
      <c r="J626" s="14"/>
    </row>
    <row r="627" ht="12.75" customHeight="1">
      <c r="A627" s="8"/>
      <c r="B627" s="74"/>
      <c r="C627" s="8"/>
      <c r="D627" s="14"/>
      <c r="E627" s="8"/>
      <c r="F627" s="8"/>
      <c r="G627" s="8"/>
      <c r="H627" s="8"/>
      <c r="I627" s="8"/>
      <c r="J627" s="14"/>
    </row>
    <row r="628" ht="12.75" customHeight="1">
      <c r="A628" s="8"/>
      <c r="B628" s="74"/>
      <c r="C628" s="8"/>
      <c r="D628" s="14"/>
      <c r="E628" s="8"/>
      <c r="F628" s="8"/>
      <c r="G628" s="8"/>
      <c r="H628" s="8"/>
      <c r="I628" s="8"/>
      <c r="J628" s="14"/>
    </row>
    <row r="629" ht="12.75" customHeight="1">
      <c r="A629" s="8"/>
      <c r="B629" s="74"/>
      <c r="C629" s="8"/>
      <c r="D629" s="14"/>
      <c r="E629" s="8"/>
      <c r="F629" s="8"/>
      <c r="G629" s="8"/>
      <c r="H629" s="8"/>
      <c r="I629" s="8"/>
      <c r="J629" s="14"/>
    </row>
    <row r="630" ht="12.75" customHeight="1">
      <c r="A630" s="8"/>
      <c r="B630" s="74"/>
      <c r="C630" s="8"/>
      <c r="D630" s="14"/>
      <c r="E630" s="8"/>
      <c r="F630" s="8"/>
      <c r="G630" s="8"/>
      <c r="H630" s="8"/>
      <c r="I630" s="8"/>
      <c r="J630" s="14"/>
    </row>
    <row r="631" ht="12.75" customHeight="1">
      <c r="A631" s="8"/>
      <c r="B631" s="74"/>
      <c r="C631" s="8"/>
      <c r="D631" s="14"/>
      <c r="E631" s="8"/>
      <c r="F631" s="8"/>
      <c r="G631" s="8"/>
      <c r="H631" s="8"/>
      <c r="I631" s="8"/>
      <c r="J631" s="14"/>
    </row>
    <row r="632" ht="12.75" customHeight="1">
      <c r="A632" s="8"/>
      <c r="B632" s="74"/>
      <c r="C632" s="8"/>
      <c r="D632" s="14"/>
      <c r="E632" s="8"/>
      <c r="F632" s="8"/>
      <c r="G632" s="8"/>
      <c r="H632" s="8"/>
      <c r="I632" s="8"/>
      <c r="J632" s="14"/>
    </row>
    <row r="633" ht="12.75" customHeight="1">
      <c r="A633" s="8"/>
      <c r="B633" s="74"/>
      <c r="C633" s="8"/>
      <c r="D633" s="14"/>
      <c r="E633" s="8"/>
      <c r="F633" s="8"/>
      <c r="G633" s="8"/>
      <c r="H633" s="8"/>
      <c r="I633" s="8"/>
      <c r="J633" s="14"/>
    </row>
    <row r="634" ht="12.75" customHeight="1">
      <c r="A634" s="8"/>
      <c r="B634" s="74"/>
      <c r="C634" s="8"/>
      <c r="D634" s="14"/>
      <c r="E634" s="8"/>
      <c r="F634" s="8"/>
      <c r="G634" s="8"/>
      <c r="H634" s="8"/>
      <c r="I634" s="8"/>
      <c r="J634" s="14"/>
    </row>
    <row r="635" ht="12.75" customHeight="1">
      <c r="A635" s="8"/>
      <c r="B635" s="74"/>
      <c r="C635" s="8"/>
      <c r="D635" s="14"/>
      <c r="E635" s="8"/>
      <c r="F635" s="8"/>
      <c r="G635" s="8"/>
      <c r="H635" s="8"/>
      <c r="I635" s="8"/>
      <c r="J635" s="14"/>
    </row>
    <row r="636" ht="12.75" customHeight="1">
      <c r="A636" s="8"/>
      <c r="B636" s="74"/>
      <c r="C636" s="8"/>
      <c r="D636" s="14"/>
      <c r="E636" s="8"/>
      <c r="F636" s="8"/>
      <c r="G636" s="8"/>
      <c r="H636" s="8"/>
      <c r="I636" s="8"/>
      <c r="J636" s="14"/>
    </row>
    <row r="637" ht="12.75" customHeight="1">
      <c r="A637" s="8"/>
      <c r="B637" s="74"/>
      <c r="C637" s="8"/>
      <c r="D637" s="14"/>
      <c r="E637" s="8"/>
      <c r="F637" s="8"/>
      <c r="G637" s="8"/>
      <c r="H637" s="8"/>
      <c r="I637" s="8"/>
      <c r="J637" s="14"/>
    </row>
    <row r="638" ht="12.75" customHeight="1">
      <c r="A638" s="8"/>
      <c r="B638" s="74"/>
      <c r="C638" s="8"/>
      <c r="D638" s="14"/>
      <c r="E638" s="8"/>
      <c r="F638" s="8"/>
      <c r="G638" s="8"/>
      <c r="H638" s="8"/>
      <c r="I638" s="8"/>
      <c r="J638" s="14"/>
    </row>
    <row r="639" ht="12.75" customHeight="1">
      <c r="A639" s="8"/>
      <c r="B639" s="74"/>
      <c r="C639" s="8"/>
      <c r="D639" s="14"/>
      <c r="E639" s="8"/>
      <c r="F639" s="8"/>
      <c r="G639" s="8"/>
      <c r="H639" s="8"/>
      <c r="I639" s="8"/>
      <c r="J639" s="14"/>
    </row>
    <row r="640" ht="12.75" customHeight="1">
      <c r="A640" s="8"/>
      <c r="B640" s="74"/>
      <c r="C640" s="8"/>
      <c r="D640" s="14"/>
      <c r="E640" s="8"/>
      <c r="F640" s="8"/>
      <c r="G640" s="8"/>
      <c r="H640" s="8"/>
      <c r="I640" s="8"/>
      <c r="J640" s="14"/>
    </row>
    <row r="641" ht="12.75" customHeight="1">
      <c r="A641" s="8"/>
      <c r="B641" s="74"/>
      <c r="C641" s="8"/>
      <c r="D641" s="14"/>
      <c r="E641" s="8"/>
      <c r="F641" s="8"/>
      <c r="G641" s="8"/>
      <c r="H641" s="8"/>
      <c r="I641" s="8"/>
      <c r="J641" s="14"/>
    </row>
    <row r="642" ht="12.75" customHeight="1">
      <c r="A642" s="8"/>
      <c r="B642" s="74"/>
      <c r="C642" s="8"/>
      <c r="D642" s="14"/>
      <c r="E642" s="8"/>
      <c r="F642" s="8"/>
      <c r="G642" s="8"/>
      <c r="H642" s="8"/>
      <c r="I642" s="8"/>
      <c r="J642" s="14"/>
    </row>
    <row r="643" ht="12.75" customHeight="1">
      <c r="A643" s="8"/>
      <c r="B643" s="74"/>
      <c r="C643" s="8"/>
      <c r="D643" s="14"/>
      <c r="E643" s="8"/>
      <c r="F643" s="8"/>
      <c r="G643" s="8"/>
      <c r="H643" s="8"/>
      <c r="I643" s="8"/>
      <c r="J643" s="14"/>
    </row>
    <row r="644" ht="12.75" customHeight="1">
      <c r="A644" s="8"/>
      <c r="B644" s="74"/>
      <c r="C644" s="8"/>
      <c r="D644" s="14"/>
      <c r="E644" s="8"/>
      <c r="F644" s="8"/>
      <c r="G644" s="8"/>
      <c r="H644" s="8"/>
      <c r="I644" s="8"/>
      <c r="J644" s="14"/>
    </row>
    <row r="645" ht="12.75" customHeight="1">
      <c r="A645" s="8"/>
      <c r="B645" s="74"/>
      <c r="C645" s="8"/>
      <c r="D645" s="14"/>
      <c r="E645" s="8"/>
      <c r="F645" s="8"/>
      <c r="G645" s="8"/>
      <c r="H645" s="8"/>
      <c r="I645" s="8"/>
      <c r="J645" s="14"/>
    </row>
    <row r="646" ht="12.75" customHeight="1">
      <c r="A646" s="8"/>
      <c r="B646" s="74"/>
      <c r="C646" s="8"/>
      <c r="D646" s="14"/>
      <c r="E646" s="8"/>
      <c r="F646" s="8"/>
      <c r="G646" s="8"/>
      <c r="H646" s="8"/>
      <c r="I646" s="8"/>
      <c r="J646" s="14"/>
    </row>
    <row r="647" ht="12.75" customHeight="1">
      <c r="A647" s="8"/>
      <c r="B647" s="74"/>
      <c r="C647" s="8"/>
      <c r="D647" s="14"/>
      <c r="E647" s="8"/>
      <c r="F647" s="8"/>
      <c r="G647" s="8"/>
      <c r="H647" s="8"/>
      <c r="I647" s="8"/>
      <c r="J647" s="14"/>
    </row>
    <row r="648" ht="12.75" customHeight="1">
      <c r="A648" s="8"/>
      <c r="B648" s="74"/>
      <c r="C648" s="8"/>
      <c r="D648" s="14"/>
      <c r="E648" s="8"/>
      <c r="F648" s="8"/>
      <c r="G648" s="8"/>
      <c r="H648" s="8"/>
      <c r="I648" s="8"/>
      <c r="J648" s="14"/>
    </row>
    <row r="649" ht="12.75" customHeight="1">
      <c r="A649" s="8"/>
      <c r="B649" s="74"/>
      <c r="C649" s="8"/>
      <c r="D649" s="14"/>
      <c r="E649" s="8"/>
      <c r="F649" s="8"/>
      <c r="G649" s="8"/>
      <c r="H649" s="8"/>
      <c r="I649" s="8"/>
      <c r="J649" s="14"/>
    </row>
    <row r="650" ht="12.75" customHeight="1">
      <c r="A650" s="8"/>
      <c r="B650" s="74"/>
      <c r="C650" s="8"/>
      <c r="D650" s="14"/>
      <c r="E650" s="8"/>
      <c r="F650" s="8"/>
      <c r="G650" s="8"/>
      <c r="H650" s="8"/>
      <c r="I650" s="8"/>
      <c r="J650" s="14"/>
    </row>
    <row r="651" ht="12.75" customHeight="1">
      <c r="A651" s="8"/>
      <c r="B651" s="74"/>
      <c r="C651" s="8"/>
      <c r="D651" s="14"/>
      <c r="E651" s="8"/>
      <c r="F651" s="8"/>
      <c r="G651" s="8"/>
      <c r="H651" s="8"/>
      <c r="I651" s="8"/>
      <c r="J651" s="14"/>
    </row>
    <row r="652" ht="12.75" customHeight="1">
      <c r="A652" s="8"/>
      <c r="B652" s="74"/>
      <c r="C652" s="8"/>
      <c r="D652" s="14"/>
      <c r="E652" s="8"/>
      <c r="F652" s="8"/>
      <c r="G652" s="8"/>
      <c r="H652" s="8"/>
      <c r="I652" s="8"/>
      <c r="J652" s="14"/>
    </row>
    <row r="653" ht="12.75" customHeight="1">
      <c r="A653" s="8"/>
      <c r="B653" s="74"/>
      <c r="C653" s="8"/>
      <c r="D653" s="14"/>
      <c r="E653" s="8"/>
      <c r="F653" s="8"/>
      <c r="G653" s="8"/>
      <c r="H653" s="8"/>
      <c r="I653" s="8"/>
      <c r="J653" s="14"/>
    </row>
    <row r="654" ht="12.75" customHeight="1">
      <c r="A654" s="8"/>
      <c r="B654" s="74"/>
      <c r="C654" s="8"/>
      <c r="D654" s="14"/>
      <c r="E654" s="8"/>
      <c r="F654" s="8"/>
      <c r="G654" s="8"/>
      <c r="H654" s="8"/>
      <c r="I654" s="8"/>
      <c r="J654" s="14"/>
    </row>
    <row r="655" ht="12.75" customHeight="1">
      <c r="A655" s="8"/>
      <c r="B655" s="74"/>
      <c r="C655" s="8"/>
      <c r="D655" s="14"/>
      <c r="E655" s="8"/>
      <c r="F655" s="8"/>
      <c r="G655" s="8"/>
      <c r="H655" s="8"/>
      <c r="I655" s="8"/>
      <c r="J655" s="14"/>
    </row>
    <row r="656" ht="12.75" customHeight="1">
      <c r="A656" s="8"/>
      <c r="B656" s="74"/>
      <c r="C656" s="8"/>
      <c r="D656" s="14"/>
      <c r="E656" s="8"/>
      <c r="F656" s="8"/>
      <c r="G656" s="8"/>
      <c r="H656" s="8"/>
      <c r="I656" s="8"/>
      <c r="J656" s="14"/>
    </row>
    <row r="657" ht="12.75" customHeight="1">
      <c r="A657" s="8"/>
      <c r="B657" s="74"/>
      <c r="C657" s="8"/>
      <c r="D657" s="14"/>
      <c r="E657" s="8"/>
      <c r="F657" s="8"/>
      <c r="G657" s="8"/>
      <c r="H657" s="8"/>
      <c r="I657" s="8"/>
      <c r="J657" s="14"/>
    </row>
    <row r="658" ht="12.75" customHeight="1">
      <c r="A658" s="8"/>
      <c r="B658" s="74"/>
      <c r="C658" s="8"/>
      <c r="D658" s="14"/>
      <c r="E658" s="8"/>
      <c r="F658" s="8"/>
      <c r="G658" s="8"/>
      <c r="H658" s="8"/>
      <c r="I658" s="8"/>
      <c r="J658" s="14"/>
    </row>
    <row r="659" ht="12.75" customHeight="1">
      <c r="A659" s="8"/>
      <c r="B659" s="74"/>
      <c r="C659" s="8"/>
      <c r="D659" s="14"/>
      <c r="E659" s="8"/>
      <c r="F659" s="8"/>
      <c r="G659" s="8"/>
      <c r="H659" s="8"/>
      <c r="I659" s="8"/>
      <c r="J659" s="14"/>
    </row>
    <row r="660" ht="12.75" customHeight="1">
      <c r="A660" s="8"/>
      <c r="B660" s="74"/>
      <c r="C660" s="8"/>
      <c r="D660" s="14"/>
      <c r="E660" s="8"/>
      <c r="F660" s="8"/>
      <c r="G660" s="8"/>
      <c r="H660" s="8"/>
      <c r="I660" s="8"/>
      <c r="J660" s="14"/>
    </row>
    <row r="661" ht="12.75" customHeight="1">
      <c r="A661" s="8"/>
      <c r="B661" s="74"/>
      <c r="C661" s="8"/>
      <c r="D661" s="14"/>
      <c r="E661" s="8"/>
      <c r="F661" s="8"/>
      <c r="G661" s="8"/>
      <c r="H661" s="8"/>
      <c r="I661" s="8"/>
      <c r="J661" s="14"/>
    </row>
    <row r="662" ht="12.75" customHeight="1">
      <c r="A662" s="8"/>
      <c r="B662" s="74"/>
      <c r="C662" s="8"/>
      <c r="D662" s="14"/>
      <c r="E662" s="8"/>
      <c r="F662" s="8"/>
      <c r="G662" s="8"/>
      <c r="H662" s="8"/>
      <c r="I662" s="8"/>
      <c r="J662" s="14"/>
    </row>
    <row r="663" ht="12.75" customHeight="1">
      <c r="A663" s="8"/>
      <c r="B663" s="74"/>
      <c r="C663" s="8"/>
      <c r="D663" s="14"/>
      <c r="E663" s="8"/>
      <c r="F663" s="8"/>
      <c r="G663" s="8"/>
      <c r="H663" s="8"/>
      <c r="I663" s="8"/>
      <c r="J663" s="14"/>
    </row>
    <row r="664" ht="12.75" customHeight="1">
      <c r="A664" s="8"/>
      <c r="B664" s="74"/>
      <c r="C664" s="8"/>
      <c r="D664" s="14"/>
      <c r="E664" s="8"/>
      <c r="F664" s="8"/>
      <c r="G664" s="8"/>
      <c r="H664" s="8"/>
      <c r="I664" s="8"/>
      <c r="J664" s="14"/>
    </row>
    <row r="665" ht="12.75" customHeight="1">
      <c r="A665" s="8"/>
      <c r="B665" s="74"/>
      <c r="C665" s="8"/>
      <c r="D665" s="14"/>
      <c r="E665" s="8"/>
      <c r="F665" s="8"/>
      <c r="G665" s="8"/>
      <c r="H665" s="8"/>
      <c r="I665" s="8"/>
      <c r="J665" s="14"/>
    </row>
    <row r="666" ht="12.75" customHeight="1">
      <c r="A666" s="8"/>
      <c r="B666" s="74"/>
      <c r="C666" s="8"/>
      <c r="D666" s="14"/>
      <c r="E666" s="8"/>
      <c r="F666" s="8"/>
      <c r="G666" s="8"/>
      <c r="H666" s="8"/>
      <c r="I666" s="8"/>
      <c r="J666" s="14"/>
    </row>
    <row r="667" ht="12.75" customHeight="1">
      <c r="A667" s="8"/>
      <c r="B667" s="74"/>
      <c r="C667" s="8"/>
      <c r="D667" s="14"/>
      <c r="E667" s="8"/>
      <c r="F667" s="8"/>
      <c r="G667" s="8"/>
      <c r="H667" s="8"/>
      <c r="I667" s="8"/>
      <c r="J667" s="14"/>
    </row>
    <row r="668" ht="12.75" customHeight="1">
      <c r="A668" s="8"/>
      <c r="B668" s="74"/>
      <c r="C668" s="8"/>
      <c r="D668" s="14"/>
      <c r="E668" s="8"/>
      <c r="F668" s="8"/>
      <c r="G668" s="8"/>
      <c r="H668" s="8"/>
      <c r="I668" s="8"/>
      <c r="J668" s="14"/>
    </row>
    <row r="669" ht="12.75" customHeight="1">
      <c r="A669" s="8"/>
      <c r="B669" s="74"/>
      <c r="C669" s="8"/>
      <c r="D669" s="14"/>
      <c r="E669" s="8"/>
      <c r="F669" s="8"/>
      <c r="G669" s="8"/>
      <c r="H669" s="8"/>
      <c r="I669" s="8"/>
      <c r="J669" s="14"/>
    </row>
    <row r="670" ht="12.75" customHeight="1">
      <c r="A670" s="8"/>
      <c r="B670" s="74"/>
      <c r="C670" s="8"/>
      <c r="D670" s="14"/>
      <c r="E670" s="8"/>
      <c r="F670" s="8"/>
      <c r="G670" s="8"/>
      <c r="H670" s="8"/>
      <c r="I670" s="8"/>
      <c r="J670" s="14"/>
    </row>
    <row r="671" ht="12.75" customHeight="1">
      <c r="A671" s="8"/>
      <c r="B671" s="74"/>
      <c r="C671" s="8"/>
      <c r="D671" s="14"/>
      <c r="E671" s="8"/>
      <c r="F671" s="8"/>
      <c r="G671" s="8"/>
      <c r="H671" s="8"/>
      <c r="I671" s="8"/>
      <c r="J671" s="14"/>
    </row>
    <row r="672" ht="12.75" customHeight="1">
      <c r="A672" s="8"/>
      <c r="B672" s="74"/>
      <c r="C672" s="8"/>
      <c r="D672" s="14"/>
      <c r="E672" s="8"/>
      <c r="F672" s="8"/>
      <c r="G672" s="8"/>
      <c r="H672" s="8"/>
      <c r="I672" s="8"/>
      <c r="J672" s="14"/>
    </row>
    <row r="673" ht="12.75" customHeight="1">
      <c r="A673" s="8"/>
      <c r="B673" s="74"/>
      <c r="C673" s="8"/>
      <c r="D673" s="14"/>
      <c r="E673" s="8"/>
      <c r="F673" s="8"/>
      <c r="G673" s="8"/>
      <c r="H673" s="8"/>
      <c r="I673" s="8"/>
      <c r="J673" s="14"/>
    </row>
    <row r="674" ht="12.75" customHeight="1">
      <c r="A674" s="8"/>
      <c r="B674" s="74"/>
      <c r="C674" s="8"/>
      <c r="D674" s="14"/>
      <c r="E674" s="8"/>
      <c r="F674" s="8"/>
      <c r="G674" s="8"/>
      <c r="H674" s="8"/>
      <c r="I674" s="8"/>
      <c r="J674" s="14"/>
    </row>
    <row r="675" ht="12.75" customHeight="1">
      <c r="A675" s="8"/>
      <c r="B675" s="74"/>
      <c r="C675" s="8"/>
      <c r="D675" s="14"/>
      <c r="E675" s="8"/>
      <c r="F675" s="8"/>
      <c r="G675" s="8"/>
      <c r="H675" s="8"/>
      <c r="I675" s="8"/>
      <c r="J675" s="14"/>
    </row>
    <row r="676" ht="12.75" customHeight="1">
      <c r="A676" s="8"/>
      <c r="B676" s="74"/>
      <c r="C676" s="8"/>
      <c r="D676" s="14"/>
      <c r="E676" s="8"/>
      <c r="F676" s="8"/>
      <c r="G676" s="8"/>
      <c r="H676" s="8"/>
      <c r="I676" s="8"/>
      <c r="J676" s="14"/>
    </row>
    <row r="677" ht="12.75" customHeight="1">
      <c r="A677" s="8"/>
      <c r="B677" s="74"/>
      <c r="C677" s="8"/>
      <c r="D677" s="14"/>
      <c r="E677" s="8"/>
      <c r="F677" s="8"/>
      <c r="G677" s="8"/>
      <c r="H677" s="8"/>
      <c r="I677" s="8"/>
      <c r="J677" s="14"/>
    </row>
    <row r="678" ht="12.75" customHeight="1">
      <c r="A678" s="8"/>
      <c r="B678" s="74"/>
      <c r="C678" s="8"/>
      <c r="D678" s="14"/>
      <c r="E678" s="8"/>
      <c r="F678" s="8"/>
      <c r="G678" s="8"/>
      <c r="H678" s="8"/>
      <c r="I678" s="8"/>
      <c r="J678" s="14"/>
    </row>
    <row r="679" ht="12.75" customHeight="1">
      <c r="A679" s="8"/>
      <c r="B679" s="74"/>
      <c r="C679" s="8"/>
      <c r="D679" s="14"/>
      <c r="E679" s="8"/>
      <c r="F679" s="8"/>
      <c r="G679" s="8"/>
      <c r="H679" s="8"/>
      <c r="I679" s="8"/>
      <c r="J679" s="14"/>
    </row>
    <row r="680" ht="12.75" customHeight="1">
      <c r="A680" s="8"/>
      <c r="B680" s="74"/>
      <c r="C680" s="8"/>
      <c r="D680" s="14"/>
      <c r="E680" s="8"/>
      <c r="F680" s="8"/>
      <c r="G680" s="8"/>
      <c r="H680" s="8"/>
      <c r="I680" s="8"/>
      <c r="J680" s="14"/>
    </row>
    <row r="681" ht="12.75" customHeight="1">
      <c r="A681" s="8"/>
      <c r="B681" s="74"/>
      <c r="C681" s="8"/>
      <c r="D681" s="14"/>
      <c r="E681" s="8"/>
      <c r="F681" s="8"/>
      <c r="G681" s="8"/>
      <c r="H681" s="8"/>
      <c r="I681" s="8"/>
      <c r="J681" s="14"/>
    </row>
    <row r="682" ht="12.75" customHeight="1">
      <c r="A682" s="8"/>
      <c r="B682" s="74"/>
      <c r="C682" s="8"/>
      <c r="D682" s="14"/>
      <c r="E682" s="8"/>
      <c r="F682" s="8"/>
      <c r="G682" s="8"/>
      <c r="H682" s="8"/>
      <c r="I682" s="8"/>
      <c r="J682" s="14"/>
    </row>
    <row r="683" ht="12.75" customHeight="1">
      <c r="A683" s="8"/>
      <c r="B683" s="74"/>
      <c r="C683" s="8"/>
      <c r="D683" s="14"/>
      <c r="E683" s="8"/>
      <c r="F683" s="8"/>
      <c r="G683" s="8"/>
      <c r="H683" s="8"/>
      <c r="I683" s="8"/>
      <c r="J683" s="14"/>
    </row>
    <row r="684" ht="12.75" customHeight="1">
      <c r="A684" s="8"/>
      <c r="B684" s="74"/>
      <c r="C684" s="8"/>
      <c r="D684" s="14"/>
      <c r="E684" s="8"/>
      <c r="F684" s="8"/>
      <c r="G684" s="8"/>
      <c r="H684" s="8"/>
      <c r="I684" s="8"/>
      <c r="J684" s="14"/>
    </row>
    <row r="685" ht="12.75" customHeight="1">
      <c r="A685" s="8"/>
      <c r="B685" s="74"/>
      <c r="C685" s="8"/>
      <c r="D685" s="14"/>
      <c r="E685" s="8"/>
      <c r="F685" s="8"/>
      <c r="G685" s="8"/>
      <c r="H685" s="8"/>
      <c r="I685" s="8"/>
      <c r="J685" s="14"/>
    </row>
    <row r="686" ht="12.75" customHeight="1">
      <c r="A686" s="8"/>
      <c r="B686" s="74"/>
      <c r="C686" s="8"/>
      <c r="D686" s="14"/>
      <c r="E686" s="8"/>
      <c r="F686" s="8"/>
      <c r="G686" s="8"/>
      <c r="H686" s="8"/>
      <c r="I686" s="8"/>
      <c r="J686" s="14"/>
    </row>
    <row r="687" ht="12.75" customHeight="1">
      <c r="A687" s="8"/>
      <c r="B687" s="74"/>
      <c r="C687" s="8"/>
      <c r="D687" s="14"/>
      <c r="E687" s="8"/>
      <c r="F687" s="8"/>
      <c r="G687" s="8"/>
      <c r="H687" s="8"/>
      <c r="I687" s="8"/>
      <c r="J687" s="14"/>
    </row>
    <row r="688" ht="12.75" customHeight="1">
      <c r="A688" s="8"/>
      <c r="B688" s="74"/>
      <c r="C688" s="8"/>
      <c r="D688" s="14"/>
      <c r="E688" s="8"/>
      <c r="F688" s="8"/>
      <c r="G688" s="8"/>
      <c r="H688" s="8"/>
      <c r="I688" s="8"/>
      <c r="J688" s="14"/>
    </row>
    <row r="689" ht="12.75" customHeight="1">
      <c r="A689" s="8"/>
      <c r="B689" s="74"/>
      <c r="C689" s="8"/>
      <c r="D689" s="14"/>
      <c r="E689" s="8"/>
      <c r="F689" s="8"/>
      <c r="G689" s="8"/>
      <c r="H689" s="8"/>
      <c r="I689" s="8"/>
      <c r="J689" s="14"/>
    </row>
    <row r="690" ht="12.75" customHeight="1">
      <c r="A690" s="8"/>
      <c r="B690" s="74"/>
      <c r="C690" s="8"/>
      <c r="D690" s="14"/>
      <c r="E690" s="8"/>
      <c r="F690" s="8"/>
      <c r="G690" s="8"/>
      <c r="H690" s="8"/>
      <c r="I690" s="8"/>
      <c r="J690" s="14"/>
    </row>
    <row r="691" ht="12.75" customHeight="1">
      <c r="A691" s="8"/>
      <c r="B691" s="74"/>
      <c r="C691" s="8"/>
      <c r="D691" s="14"/>
      <c r="E691" s="8"/>
      <c r="F691" s="8"/>
      <c r="G691" s="8"/>
      <c r="H691" s="8"/>
      <c r="I691" s="8"/>
      <c r="J691" s="14"/>
    </row>
    <row r="692" ht="12.75" customHeight="1">
      <c r="A692" s="8"/>
      <c r="B692" s="74"/>
      <c r="C692" s="8"/>
      <c r="D692" s="14"/>
      <c r="E692" s="8"/>
      <c r="F692" s="8"/>
      <c r="G692" s="8"/>
      <c r="H692" s="8"/>
      <c r="I692" s="8"/>
      <c r="J692" s="14"/>
    </row>
    <row r="693" ht="12.75" customHeight="1">
      <c r="A693" s="8"/>
      <c r="B693" s="74"/>
      <c r="C693" s="8"/>
      <c r="D693" s="14"/>
      <c r="E693" s="8"/>
      <c r="F693" s="8"/>
      <c r="G693" s="8"/>
      <c r="H693" s="8"/>
      <c r="I693" s="8"/>
      <c r="J693" s="14"/>
    </row>
    <row r="694" ht="12.75" customHeight="1">
      <c r="A694" s="8"/>
      <c r="B694" s="74"/>
      <c r="C694" s="8"/>
      <c r="D694" s="14"/>
      <c r="E694" s="8"/>
      <c r="F694" s="8"/>
      <c r="G694" s="8"/>
      <c r="H694" s="8"/>
      <c r="I694" s="8"/>
      <c r="J694" s="14"/>
    </row>
    <row r="695" ht="12.75" customHeight="1">
      <c r="A695" s="8"/>
      <c r="B695" s="74"/>
      <c r="C695" s="8"/>
      <c r="D695" s="14"/>
      <c r="E695" s="8"/>
      <c r="F695" s="8"/>
      <c r="G695" s="8"/>
      <c r="H695" s="8"/>
      <c r="I695" s="8"/>
      <c r="J695" s="14"/>
    </row>
    <row r="696" ht="12.75" customHeight="1">
      <c r="A696" s="8"/>
      <c r="B696" s="74"/>
      <c r="C696" s="8"/>
      <c r="D696" s="14"/>
      <c r="E696" s="8"/>
      <c r="F696" s="8"/>
      <c r="G696" s="8"/>
      <c r="H696" s="8"/>
      <c r="I696" s="8"/>
      <c r="J696" s="14"/>
    </row>
    <row r="697" ht="12.75" customHeight="1">
      <c r="A697" s="8"/>
      <c r="B697" s="74"/>
      <c r="C697" s="8"/>
      <c r="D697" s="14"/>
      <c r="E697" s="8"/>
      <c r="F697" s="8"/>
      <c r="G697" s="8"/>
      <c r="H697" s="8"/>
      <c r="I697" s="8"/>
      <c r="J697" s="14"/>
    </row>
    <row r="698" ht="12.75" customHeight="1">
      <c r="A698" s="8"/>
      <c r="B698" s="74"/>
      <c r="C698" s="8"/>
      <c r="D698" s="14"/>
      <c r="E698" s="8"/>
      <c r="F698" s="8"/>
      <c r="G698" s="8"/>
      <c r="H698" s="8"/>
      <c r="I698" s="8"/>
      <c r="J698" s="14"/>
    </row>
    <row r="699" ht="12.75" customHeight="1">
      <c r="A699" s="8"/>
      <c r="B699" s="74"/>
      <c r="C699" s="8"/>
      <c r="D699" s="14"/>
      <c r="E699" s="8"/>
      <c r="F699" s="8"/>
      <c r="G699" s="8"/>
      <c r="H699" s="8"/>
      <c r="I699" s="8"/>
      <c r="J699" s="14"/>
    </row>
    <row r="700" ht="12.75" customHeight="1">
      <c r="A700" s="8"/>
      <c r="B700" s="74"/>
      <c r="C700" s="8"/>
      <c r="D700" s="14"/>
      <c r="E700" s="8"/>
      <c r="F700" s="8"/>
      <c r="G700" s="8"/>
      <c r="H700" s="8"/>
      <c r="I700" s="8"/>
      <c r="J700" s="14"/>
    </row>
    <row r="701" ht="12.75" customHeight="1">
      <c r="A701" s="8"/>
      <c r="B701" s="74"/>
      <c r="C701" s="8"/>
      <c r="D701" s="14"/>
      <c r="E701" s="8"/>
      <c r="F701" s="8"/>
      <c r="G701" s="8"/>
      <c r="H701" s="8"/>
      <c r="I701" s="8"/>
      <c r="J701" s="14"/>
    </row>
    <row r="702" ht="12.75" customHeight="1">
      <c r="A702" s="8"/>
      <c r="B702" s="74"/>
      <c r="C702" s="8"/>
      <c r="D702" s="14"/>
      <c r="E702" s="8"/>
      <c r="F702" s="8"/>
      <c r="G702" s="8"/>
      <c r="H702" s="8"/>
      <c r="I702" s="8"/>
      <c r="J702" s="14"/>
    </row>
    <row r="703" ht="12.75" customHeight="1">
      <c r="A703" s="8"/>
      <c r="B703" s="74"/>
      <c r="C703" s="8"/>
      <c r="D703" s="14"/>
      <c r="E703" s="8"/>
      <c r="F703" s="8"/>
      <c r="G703" s="8"/>
      <c r="H703" s="8"/>
      <c r="I703" s="8"/>
      <c r="J703" s="14"/>
    </row>
    <row r="704" ht="12.75" customHeight="1">
      <c r="A704" s="8"/>
      <c r="B704" s="74"/>
      <c r="C704" s="8"/>
      <c r="D704" s="14"/>
      <c r="E704" s="8"/>
      <c r="F704" s="8"/>
      <c r="G704" s="8"/>
      <c r="H704" s="8"/>
      <c r="I704" s="8"/>
      <c r="J704" s="14"/>
    </row>
    <row r="705" ht="12.75" customHeight="1">
      <c r="A705" s="8"/>
      <c r="B705" s="74"/>
      <c r="C705" s="8"/>
      <c r="D705" s="14"/>
      <c r="E705" s="8"/>
      <c r="F705" s="8"/>
      <c r="G705" s="8"/>
      <c r="H705" s="8"/>
      <c r="I705" s="8"/>
      <c r="J705" s="14"/>
    </row>
    <row r="706" ht="12.75" customHeight="1">
      <c r="A706" s="8"/>
      <c r="B706" s="74"/>
      <c r="C706" s="8"/>
      <c r="D706" s="14"/>
      <c r="E706" s="8"/>
      <c r="F706" s="8"/>
      <c r="G706" s="8"/>
      <c r="H706" s="8"/>
      <c r="I706" s="8"/>
      <c r="J706" s="14"/>
    </row>
    <row r="707" ht="12.75" customHeight="1">
      <c r="A707" s="8"/>
      <c r="B707" s="74"/>
      <c r="C707" s="8"/>
      <c r="D707" s="14"/>
      <c r="E707" s="8"/>
      <c r="F707" s="8"/>
      <c r="G707" s="8"/>
      <c r="H707" s="8"/>
      <c r="I707" s="8"/>
      <c r="J707" s="14"/>
    </row>
    <row r="708" ht="12.75" customHeight="1">
      <c r="A708" s="8"/>
      <c r="B708" s="74"/>
      <c r="C708" s="8"/>
      <c r="D708" s="14"/>
      <c r="E708" s="8"/>
      <c r="F708" s="8"/>
      <c r="G708" s="8"/>
      <c r="H708" s="8"/>
      <c r="I708" s="8"/>
      <c r="J708" s="14"/>
    </row>
    <row r="709" ht="12.75" customHeight="1">
      <c r="A709" s="8"/>
      <c r="B709" s="74"/>
      <c r="C709" s="8"/>
      <c r="D709" s="14"/>
      <c r="E709" s="8"/>
      <c r="F709" s="8"/>
      <c r="G709" s="8"/>
      <c r="H709" s="8"/>
      <c r="I709" s="8"/>
      <c r="J709" s="14"/>
    </row>
    <row r="710" ht="12.75" customHeight="1">
      <c r="A710" s="8"/>
      <c r="B710" s="74"/>
      <c r="C710" s="8"/>
      <c r="D710" s="14"/>
      <c r="E710" s="8"/>
      <c r="F710" s="8"/>
      <c r="G710" s="8"/>
      <c r="H710" s="8"/>
      <c r="I710" s="8"/>
      <c r="J710" s="14"/>
    </row>
    <row r="711" ht="12.75" customHeight="1">
      <c r="A711" s="8"/>
      <c r="B711" s="74"/>
      <c r="C711" s="8"/>
      <c r="D711" s="14"/>
      <c r="E711" s="8"/>
      <c r="F711" s="8"/>
      <c r="G711" s="8"/>
      <c r="H711" s="8"/>
      <c r="I711" s="8"/>
      <c r="J711" s="14"/>
    </row>
    <row r="712" ht="12.75" customHeight="1">
      <c r="A712" s="8"/>
      <c r="B712" s="74"/>
      <c r="C712" s="8"/>
      <c r="D712" s="14"/>
      <c r="E712" s="8"/>
      <c r="F712" s="8"/>
      <c r="G712" s="8"/>
      <c r="H712" s="8"/>
      <c r="I712" s="8"/>
      <c r="J712" s="14"/>
    </row>
    <row r="713" ht="12.75" customHeight="1">
      <c r="A713" s="8"/>
      <c r="B713" s="74"/>
      <c r="C713" s="8"/>
      <c r="D713" s="14"/>
      <c r="E713" s="8"/>
      <c r="F713" s="8"/>
      <c r="G713" s="8"/>
      <c r="H713" s="8"/>
      <c r="I713" s="8"/>
      <c r="J713" s="14"/>
    </row>
    <row r="714" ht="12.75" customHeight="1">
      <c r="A714" s="8"/>
      <c r="B714" s="74"/>
      <c r="C714" s="8"/>
      <c r="D714" s="14"/>
      <c r="E714" s="8"/>
      <c r="F714" s="8"/>
      <c r="G714" s="8"/>
      <c r="H714" s="8"/>
      <c r="I714" s="8"/>
      <c r="J714" s="14"/>
    </row>
    <row r="715" ht="12.75" customHeight="1">
      <c r="A715" s="8"/>
      <c r="B715" s="74"/>
      <c r="C715" s="8"/>
      <c r="D715" s="14"/>
      <c r="E715" s="8"/>
      <c r="F715" s="8"/>
      <c r="G715" s="8"/>
      <c r="H715" s="8"/>
      <c r="I715" s="8"/>
      <c r="J715" s="14"/>
    </row>
    <row r="716" ht="12.75" customHeight="1">
      <c r="A716" s="8"/>
      <c r="B716" s="74"/>
      <c r="C716" s="8"/>
      <c r="D716" s="14"/>
      <c r="E716" s="8"/>
      <c r="F716" s="8"/>
      <c r="G716" s="8"/>
      <c r="H716" s="8"/>
      <c r="I716" s="8"/>
      <c r="J716" s="14"/>
    </row>
    <row r="717" ht="12.75" customHeight="1">
      <c r="A717" s="8"/>
      <c r="B717" s="74"/>
      <c r="C717" s="8"/>
      <c r="D717" s="14"/>
      <c r="E717" s="8"/>
      <c r="F717" s="8"/>
      <c r="G717" s="8"/>
      <c r="H717" s="8"/>
      <c r="I717" s="8"/>
      <c r="J717" s="14"/>
    </row>
    <row r="718" ht="12.75" customHeight="1">
      <c r="A718" s="8"/>
      <c r="B718" s="74"/>
      <c r="C718" s="8"/>
      <c r="D718" s="14"/>
      <c r="E718" s="8"/>
      <c r="F718" s="8"/>
      <c r="G718" s="8"/>
      <c r="H718" s="8"/>
      <c r="I718" s="8"/>
      <c r="J718" s="14"/>
    </row>
    <row r="719" ht="12.75" customHeight="1">
      <c r="A719" s="8"/>
      <c r="B719" s="74"/>
      <c r="C719" s="8"/>
      <c r="D719" s="14"/>
      <c r="E719" s="8"/>
      <c r="F719" s="8"/>
      <c r="G719" s="8"/>
      <c r="H719" s="8"/>
      <c r="I719" s="8"/>
      <c r="J719" s="14"/>
    </row>
    <row r="720" ht="12.75" customHeight="1">
      <c r="A720" s="8"/>
      <c r="B720" s="74"/>
      <c r="C720" s="8"/>
      <c r="D720" s="14"/>
      <c r="E720" s="8"/>
      <c r="F720" s="8"/>
      <c r="G720" s="8"/>
      <c r="H720" s="8"/>
      <c r="I720" s="8"/>
      <c r="J720" s="14"/>
    </row>
    <row r="721" ht="12.75" customHeight="1">
      <c r="A721" s="8"/>
      <c r="B721" s="74"/>
      <c r="C721" s="8"/>
      <c r="D721" s="14"/>
      <c r="E721" s="8"/>
      <c r="F721" s="8"/>
      <c r="G721" s="8"/>
      <c r="H721" s="8"/>
      <c r="I721" s="8"/>
      <c r="J721" s="14"/>
    </row>
    <row r="722" ht="12.75" customHeight="1">
      <c r="A722" s="8"/>
      <c r="B722" s="74"/>
      <c r="C722" s="8"/>
      <c r="D722" s="14"/>
      <c r="E722" s="8"/>
      <c r="F722" s="8"/>
      <c r="G722" s="8"/>
      <c r="H722" s="8"/>
      <c r="I722" s="8"/>
      <c r="J722" s="14"/>
    </row>
    <row r="723" ht="12.75" customHeight="1">
      <c r="A723" s="8"/>
      <c r="B723" s="74"/>
      <c r="C723" s="8"/>
      <c r="D723" s="14"/>
      <c r="E723" s="8"/>
      <c r="F723" s="8"/>
      <c r="G723" s="8"/>
      <c r="H723" s="8"/>
      <c r="I723" s="8"/>
      <c r="J723" s="14"/>
    </row>
    <row r="724" ht="12.75" customHeight="1">
      <c r="A724" s="8"/>
      <c r="B724" s="74"/>
      <c r="C724" s="8"/>
      <c r="D724" s="14"/>
      <c r="E724" s="8"/>
      <c r="F724" s="8"/>
      <c r="G724" s="8"/>
      <c r="H724" s="8"/>
      <c r="I724" s="8"/>
      <c r="J724" s="14"/>
    </row>
    <row r="725" ht="12.75" customHeight="1">
      <c r="A725" s="8"/>
      <c r="B725" s="74"/>
      <c r="C725" s="8"/>
      <c r="D725" s="14"/>
      <c r="E725" s="8"/>
      <c r="F725" s="8"/>
      <c r="G725" s="8"/>
      <c r="H725" s="8"/>
      <c r="I725" s="8"/>
      <c r="J725" s="14"/>
    </row>
    <row r="726" ht="12.75" customHeight="1">
      <c r="A726" s="8"/>
      <c r="B726" s="74"/>
      <c r="C726" s="8"/>
      <c r="D726" s="14"/>
      <c r="E726" s="8"/>
      <c r="F726" s="8"/>
      <c r="G726" s="8"/>
      <c r="H726" s="8"/>
      <c r="I726" s="8"/>
      <c r="J726" s="14"/>
    </row>
    <row r="727" ht="12.75" customHeight="1">
      <c r="A727" s="8"/>
      <c r="B727" s="74"/>
      <c r="C727" s="8"/>
      <c r="D727" s="14"/>
      <c r="E727" s="8"/>
      <c r="F727" s="8"/>
      <c r="G727" s="8"/>
      <c r="H727" s="8"/>
      <c r="I727" s="8"/>
      <c r="J727" s="14"/>
    </row>
    <row r="728" ht="12.75" customHeight="1">
      <c r="A728" s="8"/>
      <c r="B728" s="74"/>
      <c r="C728" s="8"/>
      <c r="D728" s="14"/>
      <c r="E728" s="8"/>
      <c r="F728" s="8"/>
      <c r="G728" s="8"/>
      <c r="H728" s="8"/>
      <c r="I728" s="8"/>
      <c r="J728" s="14"/>
    </row>
    <row r="729" ht="12.75" customHeight="1">
      <c r="A729" s="8"/>
      <c r="B729" s="74"/>
      <c r="C729" s="8"/>
      <c r="D729" s="14"/>
      <c r="E729" s="8"/>
      <c r="F729" s="8"/>
      <c r="G729" s="8"/>
      <c r="H729" s="8"/>
      <c r="I729" s="8"/>
      <c r="J729" s="14"/>
    </row>
    <row r="730" ht="12.75" customHeight="1">
      <c r="A730" s="8"/>
      <c r="B730" s="74"/>
      <c r="C730" s="8"/>
      <c r="D730" s="14"/>
      <c r="E730" s="8"/>
      <c r="F730" s="8"/>
      <c r="G730" s="8"/>
      <c r="H730" s="8"/>
      <c r="I730" s="8"/>
      <c r="J730" s="14"/>
    </row>
    <row r="731" ht="12.75" customHeight="1">
      <c r="A731" s="8"/>
      <c r="B731" s="74"/>
      <c r="C731" s="8"/>
      <c r="D731" s="14"/>
      <c r="E731" s="8"/>
      <c r="F731" s="8"/>
      <c r="G731" s="8"/>
      <c r="H731" s="8"/>
      <c r="I731" s="8"/>
      <c r="J731" s="14"/>
    </row>
    <row r="732" ht="12.75" customHeight="1">
      <c r="A732" s="8"/>
      <c r="B732" s="74"/>
      <c r="C732" s="8"/>
      <c r="D732" s="14"/>
      <c r="E732" s="8"/>
      <c r="F732" s="8"/>
      <c r="G732" s="8"/>
      <c r="H732" s="8"/>
      <c r="I732" s="8"/>
      <c r="J732" s="14"/>
    </row>
    <row r="733" ht="12.75" customHeight="1">
      <c r="A733" s="8"/>
      <c r="B733" s="74"/>
      <c r="C733" s="8"/>
      <c r="D733" s="14"/>
      <c r="E733" s="8"/>
      <c r="F733" s="8"/>
      <c r="G733" s="8"/>
      <c r="H733" s="8"/>
      <c r="I733" s="8"/>
      <c r="J733" s="14"/>
    </row>
    <row r="734" ht="12.75" customHeight="1">
      <c r="A734" s="8"/>
      <c r="B734" s="74"/>
      <c r="C734" s="8"/>
      <c r="D734" s="14"/>
      <c r="E734" s="8"/>
      <c r="F734" s="8"/>
      <c r="G734" s="8"/>
      <c r="H734" s="8"/>
      <c r="I734" s="8"/>
      <c r="J734" s="14"/>
    </row>
    <row r="735" ht="12.75" customHeight="1">
      <c r="A735" s="8"/>
      <c r="B735" s="74"/>
      <c r="C735" s="8"/>
      <c r="D735" s="14"/>
      <c r="E735" s="8"/>
      <c r="F735" s="8"/>
      <c r="G735" s="8"/>
      <c r="H735" s="8"/>
      <c r="I735" s="8"/>
      <c r="J735" s="14"/>
    </row>
    <row r="736" ht="12.75" customHeight="1">
      <c r="A736" s="8"/>
      <c r="B736" s="74"/>
      <c r="C736" s="8"/>
      <c r="D736" s="14"/>
      <c r="E736" s="8"/>
      <c r="F736" s="8"/>
      <c r="G736" s="8"/>
      <c r="H736" s="8"/>
      <c r="I736" s="8"/>
      <c r="J736" s="14"/>
    </row>
    <row r="737" ht="12.75" customHeight="1">
      <c r="A737" s="8"/>
      <c r="B737" s="74"/>
      <c r="C737" s="8"/>
      <c r="D737" s="14"/>
      <c r="E737" s="8"/>
      <c r="F737" s="8"/>
      <c r="G737" s="8"/>
      <c r="H737" s="8"/>
      <c r="I737" s="8"/>
      <c r="J737" s="14"/>
    </row>
    <row r="738" ht="12.75" customHeight="1">
      <c r="A738" s="8"/>
      <c r="B738" s="74"/>
      <c r="C738" s="8"/>
      <c r="D738" s="14"/>
      <c r="E738" s="8"/>
      <c r="F738" s="8"/>
      <c r="G738" s="8"/>
      <c r="H738" s="8"/>
      <c r="I738" s="8"/>
      <c r="J738" s="14"/>
    </row>
    <row r="739" ht="12.75" customHeight="1">
      <c r="A739" s="8"/>
      <c r="B739" s="74"/>
      <c r="C739" s="8"/>
      <c r="D739" s="14"/>
      <c r="E739" s="8"/>
      <c r="F739" s="8"/>
      <c r="G739" s="8"/>
      <c r="H739" s="8"/>
      <c r="I739" s="8"/>
      <c r="J739" s="14"/>
    </row>
    <row r="740" ht="12.75" customHeight="1">
      <c r="A740" s="8"/>
      <c r="B740" s="74"/>
      <c r="C740" s="8"/>
      <c r="D740" s="14"/>
      <c r="E740" s="8"/>
      <c r="F740" s="8"/>
      <c r="G740" s="8"/>
      <c r="H740" s="8"/>
      <c r="I740" s="8"/>
      <c r="J740" s="14"/>
    </row>
    <row r="741" ht="12.75" customHeight="1">
      <c r="A741" s="8"/>
      <c r="B741" s="74"/>
      <c r="C741" s="8"/>
      <c r="D741" s="14"/>
      <c r="E741" s="8"/>
      <c r="F741" s="8"/>
      <c r="G741" s="8"/>
      <c r="H741" s="8"/>
      <c r="I741" s="8"/>
      <c r="J741" s="14"/>
    </row>
    <row r="742" ht="12.75" customHeight="1">
      <c r="A742" s="8"/>
      <c r="B742" s="74"/>
      <c r="C742" s="8"/>
      <c r="D742" s="14"/>
      <c r="E742" s="8"/>
      <c r="F742" s="8"/>
      <c r="G742" s="8"/>
      <c r="H742" s="8"/>
      <c r="I742" s="8"/>
      <c r="J742" s="14"/>
    </row>
    <row r="743" ht="12.75" customHeight="1">
      <c r="A743" s="8"/>
      <c r="B743" s="74"/>
      <c r="C743" s="8"/>
      <c r="D743" s="14"/>
      <c r="E743" s="8"/>
      <c r="F743" s="8"/>
      <c r="G743" s="8"/>
      <c r="H743" s="8"/>
      <c r="I743" s="8"/>
      <c r="J743" s="14"/>
    </row>
    <row r="744" ht="12.75" customHeight="1">
      <c r="A744" s="8"/>
      <c r="B744" s="74"/>
      <c r="C744" s="8"/>
      <c r="D744" s="14"/>
      <c r="E744" s="8"/>
      <c r="F744" s="8"/>
      <c r="G744" s="8"/>
      <c r="H744" s="8"/>
      <c r="I744" s="8"/>
      <c r="J744" s="14"/>
    </row>
    <row r="745" ht="12.75" customHeight="1">
      <c r="A745" s="8"/>
      <c r="B745" s="74"/>
      <c r="C745" s="8"/>
      <c r="D745" s="14"/>
      <c r="E745" s="8"/>
      <c r="F745" s="8"/>
      <c r="G745" s="8"/>
      <c r="H745" s="8"/>
      <c r="I745" s="8"/>
      <c r="J745" s="14"/>
    </row>
    <row r="746" ht="12.75" customHeight="1">
      <c r="A746" s="8"/>
      <c r="B746" s="74"/>
      <c r="C746" s="8"/>
      <c r="D746" s="14"/>
      <c r="E746" s="8"/>
      <c r="F746" s="8"/>
      <c r="G746" s="8"/>
      <c r="H746" s="8"/>
      <c r="I746" s="8"/>
      <c r="J746" s="14"/>
    </row>
    <row r="747" ht="12.75" customHeight="1">
      <c r="A747" s="8"/>
      <c r="B747" s="74"/>
      <c r="C747" s="8"/>
      <c r="D747" s="14"/>
      <c r="E747" s="8"/>
      <c r="F747" s="8"/>
      <c r="G747" s="8"/>
      <c r="H747" s="8"/>
      <c r="I747" s="8"/>
      <c r="J747" s="14"/>
    </row>
    <row r="748" ht="12.75" customHeight="1">
      <c r="A748" s="8"/>
      <c r="B748" s="74"/>
      <c r="C748" s="8"/>
      <c r="D748" s="14"/>
      <c r="E748" s="8"/>
      <c r="F748" s="8"/>
      <c r="G748" s="8"/>
      <c r="H748" s="8"/>
      <c r="I748" s="8"/>
      <c r="J748" s="14"/>
    </row>
    <row r="749" ht="12.75" customHeight="1">
      <c r="A749" s="8"/>
      <c r="B749" s="74"/>
      <c r="C749" s="8"/>
      <c r="D749" s="14"/>
      <c r="E749" s="8"/>
      <c r="F749" s="8"/>
      <c r="G749" s="8"/>
      <c r="H749" s="8"/>
      <c r="I749" s="8"/>
      <c r="J749" s="14"/>
    </row>
    <row r="750" ht="12.75" customHeight="1">
      <c r="A750" s="8"/>
      <c r="B750" s="74"/>
      <c r="C750" s="8"/>
      <c r="D750" s="14"/>
      <c r="E750" s="8"/>
      <c r="F750" s="8"/>
      <c r="G750" s="8"/>
      <c r="H750" s="8"/>
      <c r="I750" s="8"/>
      <c r="J750" s="14"/>
    </row>
    <row r="751" ht="12.75" customHeight="1">
      <c r="A751" s="8"/>
      <c r="B751" s="74"/>
      <c r="C751" s="8"/>
      <c r="D751" s="14"/>
      <c r="E751" s="8"/>
      <c r="F751" s="8"/>
      <c r="G751" s="8"/>
      <c r="H751" s="8"/>
      <c r="I751" s="8"/>
      <c r="J751" s="14"/>
    </row>
    <row r="752" ht="12.75" customHeight="1">
      <c r="A752" s="8"/>
      <c r="B752" s="74"/>
      <c r="C752" s="8"/>
      <c r="D752" s="14"/>
      <c r="E752" s="8"/>
      <c r="F752" s="8"/>
      <c r="G752" s="8"/>
      <c r="H752" s="8"/>
      <c r="I752" s="8"/>
      <c r="J752" s="14"/>
    </row>
    <row r="753" ht="12.75" customHeight="1">
      <c r="A753" s="8"/>
      <c r="B753" s="74"/>
      <c r="C753" s="8"/>
      <c r="D753" s="14"/>
      <c r="E753" s="8"/>
      <c r="F753" s="8"/>
      <c r="G753" s="8"/>
      <c r="H753" s="8"/>
      <c r="I753" s="8"/>
      <c r="J753" s="14"/>
    </row>
    <row r="754" ht="12.75" customHeight="1">
      <c r="A754" s="8"/>
      <c r="B754" s="74"/>
      <c r="C754" s="8"/>
      <c r="D754" s="14"/>
      <c r="E754" s="8"/>
      <c r="F754" s="8"/>
      <c r="G754" s="8"/>
      <c r="H754" s="8"/>
      <c r="I754" s="8"/>
      <c r="J754" s="14"/>
    </row>
    <row r="755" ht="12.75" customHeight="1">
      <c r="A755" s="8"/>
      <c r="B755" s="74"/>
      <c r="C755" s="8"/>
      <c r="D755" s="14"/>
      <c r="E755" s="8"/>
      <c r="F755" s="8"/>
      <c r="G755" s="8"/>
      <c r="H755" s="8"/>
      <c r="I755" s="8"/>
      <c r="J755" s="14"/>
    </row>
    <row r="756" ht="12.75" customHeight="1">
      <c r="A756" s="8"/>
      <c r="B756" s="74"/>
      <c r="C756" s="8"/>
      <c r="D756" s="14"/>
      <c r="E756" s="8"/>
      <c r="F756" s="8"/>
      <c r="G756" s="8"/>
      <c r="H756" s="8"/>
      <c r="I756" s="8"/>
      <c r="J756" s="14"/>
    </row>
    <row r="757" ht="12.75" customHeight="1">
      <c r="A757" s="8"/>
      <c r="B757" s="74"/>
      <c r="C757" s="8"/>
      <c r="D757" s="14"/>
      <c r="E757" s="8"/>
      <c r="F757" s="8"/>
      <c r="G757" s="8"/>
      <c r="H757" s="8"/>
      <c r="I757" s="8"/>
      <c r="J757" s="14"/>
    </row>
    <row r="758" ht="12.75" customHeight="1">
      <c r="A758" s="8"/>
      <c r="B758" s="74"/>
      <c r="C758" s="8"/>
      <c r="D758" s="14"/>
      <c r="E758" s="8"/>
      <c r="F758" s="8"/>
      <c r="G758" s="8"/>
      <c r="H758" s="8"/>
      <c r="I758" s="8"/>
      <c r="J758" s="14"/>
    </row>
    <row r="759" ht="12.75" customHeight="1">
      <c r="A759" s="8"/>
      <c r="B759" s="74"/>
      <c r="C759" s="8"/>
      <c r="D759" s="14"/>
      <c r="E759" s="8"/>
      <c r="F759" s="8"/>
      <c r="G759" s="8"/>
      <c r="H759" s="8"/>
      <c r="I759" s="8"/>
      <c r="J759" s="14"/>
    </row>
    <row r="760" ht="12.75" customHeight="1">
      <c r="A760" s="8"/>
      <c r="B760" s="74"/>
      <c r="C760" s="8"/>
      <c r="D760" s="14"/>
      <c r="E760" s="8"/>
      <c r="F760" s="8"/>
      <c r="G760" s="8"/>
      <c r="H760" s="8"/>
      <c r="I760" s="8"/>
      <c r="J760" s="14"/>
    </row>
    <row r="761" ht="12.75" customHeight="1">
      <c r="A761" s="8"/>
      <c r="B761" s="74"/>
      <c r="C761" s="8"/>
      <c r="D761" s="14"/>
      <c r="E761" s="8"/>
      <c r="F761" s="8"/>
      <c r="G761" s="8"/>
      <c r="H761" s="8"/>
      <c r="I761" s="8"/>
      <c r="J761" s="14"/>
    </row>
    <row r="762" ht="12.75" customHeight="1">
      <c r="A762" s="8"/>
      <c r="B762" s="74"/>
      <c r="C762" s="8"/>
      <c r="D762" s="14"/>
      <c r="E762" s="8"/>
      <c r="F762" s="8"/>
      <c r="G762" s="8"/>
      <c r="H762" s="8"/>
      <c r="I762" s="8"/>
      <c r="J762" s="14"/>
    </row>
    <row r="763" ht="12.75" customHeight="1">
      <c r="A763" s="8"/>
      <c r="B763" s="74"/>
      <c r="C763" s="8"/>
      <c r="D763" s="14"/>
      <c r="E763" s="8"/>
      <c r="F763" s="8"/>
      <c r="G763" s="8"/>
      <c r="H763" s="8"/>
      <c r="I763" s="8"/>
      <c r="J763" s="14"/>
    </row>
    <row r="764" ht="12.75" customHeight="1">
      <c r="A764" s="8"/>
      <c r="B764" s="74"/>
      <c r="C764" s="8"/>
      <c r="D764" s="14"/>
      <c r="E764" s="8"/>
      <c r="F764" s="8"/>
      <c r="G764" s="8"/>
      <c r="H764" s="8"/>
      <c r="I764" s="8"/>
      <c r="J764" s="14"/>
    </row>
    <row r="765" ht="12.75" customHeight="1">
      <c r="A765" s="8"/>
      <c r="B765" s="74"/>
      <c r="C765" s="8"/>
      <c r="D765" s="14"/>
      <c r="E765" s="8"/>
      <c r="F765" s="8"/>
      <c r="G765" s="8"/>
      <c r="H765" s="8"/>
      <c r="I765" s="8"/>
      <c r="J765" s="14"/>
    </row>
    <row r="766" ht="12.75" customHeight="1">
      <c r="A766" s="8"/>
      <c r="B766" s="74"/>
      <c r="C766" s="8"/>
      <c r="D766" s="14"/>
      <c r="E766" s="8"/>
      <c r="F766" s="8"/>
      <c r="G766" s="8"/>
      <c r="H766" s="8"/>
      <c r="I766" s="8"/>
      <c r="J766" s="14"/>
    </row>
    <row r="767" ht="12.75" customHeight="1">
      <c r="A767" s="8"/>
      <c r="B767" s="74"/>
      <c r="C767" s="8"/>
      <c r="D767" s="14"/>
      <c r="E767" s="8"/>
      <c r="F767" s="8"/>
      <c r="G767" s="8"/>
      <c r="H767" s="8"/>
      <c r="I767" s="8"/>
      <c r="J767" s="14"/>
    </row>
    <row r="768" ht="12.75" customHeight="1">
      <c r="A768" s="8"/>
      <c r="B768" s="74"/>
      <c r="C768" s="8"/>
      <c r="D768" s="14"/>
      <c r="E768" s="8"/>
      <c r="F768" s="8"/>
      <c r="G768" s="8"/>
      <c r="H768" s="8"/>
      <c r="I768" s="8"/>
      <c r="J768" s="14"/>
    </row>
    <row r="769" ht="12.75" customHeight="1">
      <c r="A769" s="8"/>
      <c r="B769" s="74"/>
      <c r="C769" s="8"/>
      <c r="D769" s="14"/>
      <c r="E769" s="8"/>
      <c r="F769" s="8"/>
      <c r="G769" s="8"/>
      <c r="H769" s="8"/>
      <c r="I769" s="8"/>
      <c r="J769" s="14"/>
    </row>
    <row r="770" ht="12.75" customHeight="1">
      <c r="A770" s="8"/>
      <c r="B770" s="74"/>
      <c r="C770" s="8"/>
      <c r="D770" s="14"/>
      <c r="E770" s="8"/>
      <c r="F770" s="8"/>
      <c r="G770" s="8"/>
      <c r="H770" s="8"/>
      <c r="I770" s="8"/>
      <c r="J770" s="14"/>
    </row>
    <row r="771" ht="12.75" customHeight="1">
      <c r="A771" s="8"/>
      <c r="B771" s="74"/>
      <c r="C771" s="8"/>
      <c r="D771" s="14"/>
      <c r="E771" s="8"/>
      <c r="F771" s="8"/>
      <c r="G771" s="8"/>
      <c r="H771" s="8"/>
      <c r="I771" s="8"/>
      <c r="J771" s="14"/>
    </row>
    <row r="772" ht="12.75" customHeight="1">
      <c r="A772" s="8"/>
      <c r="B772" s="74"/>
      <c r="C772" s="8"/>
      <c r="D772" s="14"/>
      <c r="E772" s="8"/>
      <c r="F772" s="8"/>
      <c r="G772" s="8"/>
      <c r="H772" s="8"/>
      <c r="I772" s="8"/>
      <c r="J772" s="14"/>
    </row>
    <row r="773" ht="12.75" customHeight="1">
      <c r="A773" s="8"/>
      <c r="B773" s="74"/>
      <c r="C773" s="8"/>
      <c r="D773" s="14"/>
      <c r="E773" s="8"/>
      <c r="F773" s="8"/>
      <c r="G773" s="8"/>
      <c r="H773" s="8"/>
      <c r="I773" s="8"/>
      <c r="J773" s="14"/>
    </row>
    <row r="774" ht="12.75" customHeight="1">
      <c r="A774" s="8"/>
      <c r="B774" s="74"/>
      <c r="C774" s="8"/>
      <c r="D774" s="14"/>
      <c r="E774" s="8"/>
      <c r="F774" s="8"/>
      <c r="G774" s="8"/>
      <c r="H774" s="8"/>
      <c r="I774" s="8"/>
      <c r="J774" s="14"/>
    </row>
    <row r="775" ht="12.75" customHeight="1">
      <c r="A775" s="8"/>
      <c r="B775" s="74"/>
      <c r="C775" s="8"/>
      <c r="D775" s="14"/>
      <c r="E775" s="8"/>
      <c r="F775" s="8"/>
      <c r="G775" s="8"/>
      <c r="H775" s="8"/>
      <c r="I775" s="8"/>
      <c r="J775" s="14"/>
    </row>
    <row r="776" ht="12.75" customHeight="1">
      <c r="A776" s="8"/>
      <c r="B776" s="74"/>
      <c r="C776" s="8"/>
      <c r="D776" s="14"/>
      <c r="E776" s="8"/>
      <c r="F776" s="8"/>
      <c r="G776" s="8"/>
      <c r="H776" s="8"/>
      <c r="I776" s="8"/>
      <c r="J776" s="14"/>
    </row>
    <row r="777" ht="12.75" customHeight="1">
      <c r="A777" s="8"/>
      <c r="B777" s="74"/>
      <c r="C777" s="8"/>
      <c r="D777" s="14"/>
      <c r="E777" s="8"/>
      <c r="F777" s="8"/>
      <c r="G777" s="8"/>
      <c r="H777" s="8"/>
      <c r="I777" s="8"/>
      <c r="J777" s="14"/>
    </row>
    <row r="778" ht="12.75" customHeight="1">
      <c r="A778" s="8"/>
      <c r="B778" s="74"/>
      <c r="C778" s="8"/>
      <c r="D778" s="14"/>
      <c r="E778" s="8"/>
      <c r="F778" s="8"/>
      <c r="G778" s="8"/>
      <c r="H778" s="8"/>
      <c r="I778" s="8"/>
      <c r="J778" s="14"/>
    </row>
    <row r="779" ht="12.75" customHeight="1">
      <c r="A779" s="8"/>
      <c r="B779" s="74"/>
      <c r="C779" s="8"/>
      <c r="D779" s="14"/>
      <c r="E779" s="8"/>
      <c r="F779" s="8"/>
      <c r="G779" s="8"/>
      <c r="H779" s="8"/>
      <c r="I779" s="8"/>
      <c r="J779" s="14"/>
    </row>
    <row r="780" ht="12.75" customHeight="1">
      <c r="A780" s="8"/>
      <c r="B780" s="74"/>
      <c r="C780" s="8"/>
      <c r="D780" s="14"/>
      <c r="E780" s="8"/>
      <c r="F780" s="8"/>
      <c r="G780" s="8"/>
      <c r="H780" s="8"/>
      <c r="I780" s="8"/>
      <c r="J780" s="14"/>
    </row>
    <row r="781" ht="12.75" customHeight="1">
      <c r="A781" s="8"/>
      <c r="B781" s="74"/>
      <c r="C781" s="8"/>
      <c r="D781" s="14"/>
      <c r="E781" s="8"/>
      <c r="F781" s="8"/>
      <c r="G781" s="8"/>
      <c r="H781" s="8"/>
      <c r="I781" s="8"/>
      <c r="J781" s="14"/>
    </row>
    <row r="782" ht="12.75" customHeight="1">
      <c r="A782" s="8"/>
      <c r="B782" s="74"/>
      <c r="C782" s="8"/>
      <c r="D782" s="14"/>
      <c r="E782" s="8"/>
      <c r="F782" s="8"/>
      <c r="G782" s="8"/>
      <c r="H782" s="8"/>
      <c r="I782" s="8"/>
      <c r="J782" s="14"/>
    </row>
    <row r="783" ht="12.75" customHeight="1">
      <c r="A783" s="8"/>
      <c r="B783" s="74"/>
      <c r="C783" s="8"/>
      <c r="D783" s="14"/>
      <c r="E783" s="8"/>
      <c r="F783" s="8"/>
      <c r="G783" s="8"/>
      <c r="H783" s="8"/>
      <c r="I783" s="8"/>
      <c r="J783" s="14"/>
    </row>
    <row r="784" ht="12.75" customHeight="1">
      <c r="A784" s="8"/>
      <c r="B784" s="74"/>
      <c r="C784" s="8"/>
      <c r="D784" s="14"/>
      <c r="E784" s="8"/>
      <c r="F784" s="8"/>
      <c r="G784" s="8"/>
      <c r="H784" s="8"/>
      <c r="I784" s="8"/>
      <c r="J784" s="14"/>
    </row>
    <row r="785" ht="12.75" customHeight="1">
      <c r="A785" s="8"/>
      <c r="B785" s="74"/>
      <c r="C785" s="8"/>
      <c r="D785" s="14"/>
      <c r="E785" s="8"/>
      <c r="F785" s="8"/>
      <c r="G785" s="8"/>
      <c r="H785" s="8"/>
      <c r="I785" s="8"/>
      <c r="J785" s="14"/>
    </row>
    <row r="786" ht="12.75" customHeight="1">
      <c r="A786" s="8"/>
      <c r="B786" s="74"/>
      <c r="C786" s="8"/>
      <c r="D786" s="14"/>
      <c r="E786" s="8"/>
      <c r="F786" s="8"/>
      <c r="G786" s="8"/>
      <c r="H786" s="8"/>
      <c r="I786" s="8"/>
      <c r="J786" s="14"/>
    </row>
    <row r="787" ht="12.75" customHeight="1">
      <c r="A787" s="8"/>
      <c r="B787" s="74"/>
      <c r="C787" s="8"/>
      <c r="D787" s="14"/>
      <c r="E787" s="8"/>
      <c r="F787" s="8"/>
      <c r="G787" s="8"/>
      <c r="H787" s="8"/>
      <c r="I787" s="8"/>
      <c r="J787" s="14"/>
    </row>
    <row r="788" ht="12.75" customHeight="1">
      <c r="A788" s="8"/>
      <c r="B788" s="74"/>
      <c r="C788" s="8"/>
      <c r="D788" s="14"/>
      <c r="E788" s="8"/>
      <c r="F788" s="8"/>
      <c r="G788" s="8"/>
      <c r="H788" s="8"/>
      <c r="I788" s="8"/>
      <c r="J788" s="14"/>
    </row>
    <row r="789" ht="12.75" customHeight="1">
      <c r="A789" s="8"/>
      <c r="B789" s="74"/>
      <c r="C789" s="8"/>
      <c r="D789" s="14"/>
      <c r="E789" s="8"/>
      <c r="F789" s="8"/>
      <c r="G789" s="8"/>
      <c r="H789" s="8"/>
      <c r="I789" s="8"/>
      <c r="J789" s="14"/>
    </row>
    <row r="790" ht="12.75" customHeight="1">
      <c r="A790" s="8"/>
      <c r="B790" s="74"/>
      <c r="C790" s="8"/>
      <c r="D790" s="14"/>
      <c r="E790" s="8"/>
      <c r="F790" s="8"/>
      <c r="G790" s="8"/>
      <c r="H790" s="8"/>
      <c r="I790" s="8"/>
      <c r="J790" s="14"/>
    </row>
    <row r="791" ht="12.75" customHeight="1">
      <c r="A791" s="8"/>
      <c r="B791" s="74"/>
      <c r="C791" s="8"/>
      <c r="D791" s="14"/>
      <c r="E791" s="8"/>
      <c r="F791" s="8"/>
      <c r="G791" s="8"/>
      <c r="H791" s="8"/>
      <c r="I791" s="8"/>
      <c r="J791" s="14"/>
    </row>
    <row r="792" ht="12.75" customHeight="1">
      <c r="A792" s="8"/>
      <c r="B792" s="74"/>
      <c r="C792" s="8"/>
      <c r="D792" s="14"/>
      <c r="E792" s="8"/>
      <c r="F792" s="8"/>
      <c r="G792" s="8"/>
      <c r="H792" s="8"/>
      <c r="I792" s="8"/>
      <c r="J792" s="14"/>
    </row>
    <row r="793" ht="12.75" customHeight="1">
      <c r="A793" s="8"/>
      <c r="B793" s="74"/>
      <c r="C793" s="8"/>
      <c r="D793" s="14"/>
      <c r="E793" s="8"/>
      <c r="F793" s="8"/>
      <c r="G793" s="8"/>
      <c r="H793" s="8"/>
      <c r="I793" s="8"/>
      <c r="J793" s="14"/>
    </row>
    <row r="794" ht="12.75" customHeight="1">
      <c r="A794" s="8"/>
      <c r="B794" s="74"/>
      <c r="C794" s="8"/>
      <c r="D794" s="14"/>
      <c r="E794" s="8"/>
      <c r="F794" s="8"/>
      <c r="G794" s="8"/>
      <c r="H794" s="8"/>
      <c r="I794" s="8"/>
      <c r="J794" s="14"/>
    </row>
    <row r="795" ht="12.75" customHeight="1">
      <c r="A795" s="8"/>
      <c r="B795" s="74"/>
      <c r="C795" s="8"/>
      <c r="D795" s="14"/>
      <c r="E795" s="8"/>
      <c r="F795" s="8"/>
      <c r="G795" s="8"/>
      <c r="H795" s="8"/>
      <c r="I795" s="8"/>
      <c r="J795" s="14"/>
    </row>
    <row r="796" ht="12.75" customHeight="1">
      <c r="A796" s="8"/>
      <c r="B796" s="74"/>
      <c r="C796" s="8"/>
      <c r="D796" s="14"/>
      <c r="E796" s="8"/>
      <c r="F796" s="8"/>
      <c r="G796" s="8"/>
      <c r="H796" s="8"/>
      <c r="I796" s="8"/>
      <c r="J796" s="14"/>
    </row>
    <row r="797" ht="12.75" customHeight="1">
      <c r="A797" s="8"/>
      <c r="B797" s="74"/>
      <c r="C797" s="8"/>
      <c r="D797" s="14"/>
      <c r="E797" s="8"/>
      <c r="F797" s="8"/>
      <c r="G797" s="8"/>
      <c r="H797" s="8"/>
      <c r="I797" s="8"/>
      <c r="J797" s="14"/>
    </row>
    <row r="798" ht="12.75" customHeight="1">
      <c r="A798" s="8"/>
      <c r="B798" s="74"/>
      <c r="C798" s="8"/>
      <c r="D798" s="14"/>
      <c r="E798" s="8"/>
      <c r="F798" s="8"/>
      <c r="G798" s="8"/>
      <c r="H798" s="8"/>
      <c r="I798" s="8"/>
      <c r="J798" s="14"/>
    </row>
    <row r="799" ht="12.75" customHeight="1">
      <c r="A799" s="8"/>
      <c r="B799" s="74"/>
      <c r="C799" s="8"/>
      <c r="D799" s="14"/>
      <c r="E799" s="8"/>
      <c r="F799" s="8"/>
      <c r="G799" s="8"/>
      <c r="H799" s="8"/>
      <c r="I799" s="8"/>
      <c r="J799" s="14"/>
    </row>
    <row r="800" ht="12.75" customHeight="1">
      <c r="A800" s="8"/>
      <c r="B800" s="74"/>
      <c r="C800" s="8"/>
      <c r="D800" s="14"/>
      <c r="E800" s="8"/>
      <c r="F800" s="8"/>
      <c r="G800" s="8"/>
      <c r="H800" s="8"/>
      <c r="I800" s="8"/>
      <c r="J800" s="14"/>
    </row>
    <row r="801" ht="12.75" customHeight="1">
      <c r="A801" s="8"/>
      <c r="B801" s="74"/>
      <c r="C801" s="8"/>
      <c r="D801" s="14"/>
      <c r="E801" s="8"/>
      <c r="F801" s="8"/>
      <c r="G801" s="8"/>
      <c r="H801" s="8"/>
      <c r="I801" s="8"/>
      <c r="J801" s="14"/>
    </row>
    <row r="802" ht="12.75" customHeight="1">
      <c r="A802" s="8"/>
      <c r="B802" s="74"/>
      <c r="C802" s="8"/>
      <c r="D802" s="14"/>
      <c r="E802" s="8"/>
      <c r="F802" s="8"/>
      <c r="G802" s="8"/>
      <c r="H802" s="8"/>
      <c r="I802" s="8"/>
      <c r="J802" s="14"/>
    </row>
    <row r="803" ht="12.75" customHeight="1">
      <c r="A803" s="8"/>
      <c r="B803" s="74"/>
      <c r="C803" s="8"/>
      <c r="D803" s="14"/>
      <c r="E803" s="8"/>
      <c r="F803" s="8"/>
      <c r="G803" s="8"/>
      <c r="H803" s="8"/>
      <c r="I803" s="8"/>
      <c r="J803" s="14"/>
    </row>
    <row r="804" ht="12.75" customHeight="1">
      <c r="A804" s="8"/>
      <c r="B804" s="74"/>
      <c r="C804" s="8"/>
      <c r="D804" s="14"/>
      <c r="E804" s="8"/>
      <c r="F804" s="8"/>
      <c r="G804" s="8"/>
      <c r="H804" s="8"/>
      <c r="I804" s="8"/>
      <c r="J804" s="14"/>
    </row>
    <row r="805" ht="12.75" customHeight="1">
      <c r="A805" s="8"/>
      <c r="B805" s="74"/>
      <c r="C805" s="8"/>
      <c r="D805" s="14"/>
      <c r="E805" s="8"/>
      <c r="F805" s="8"/>
      <c r="G805" s="8"/>
      <c r="H805" s="8"/>
      <c r="I805" s="8"/>
      <c r="J805" s="14"/>
    </row>
    <row r="806" ht="12.75" customHeight="1">
      <c r="A806" s="8"/>
      <c r="B806" s="74"/>
      <c r="C806" s="8"/>
      <c r="D806" s="14"/>
      <c r="E806" s="8"/>
      <c r="F806" s="8"/>
      <c r="G806" s="8"/>
      <c r="H806" s="8"/>
      <c r="I806" s="8"/>
      <c r="J806" s="14"/>
    </row>
    <row r="807" ht="12.75" customHeight="1">
      <c r="A807" s="8"/>
      <c r="B807" s="74"/>
      <c r="C807" s="8"/>
      <c r="D807" s="14"/>
      <c r="E807" s="8"/>
      <c r="F807" s="8"/>
      <c r="G807" s="8"/>
      <c r="H807" s="8"/>
      <c r="I807" s="8"/>
      <c r="J807" s="14"/>
    </row>
    <row r="808" ht="12.75" customHeight="1">
      <c r="A808" s="8"/>
      <c r="B808" s="74"/>
      <c r="C808" s="8"/>
      <c r="D808" s="14"/>
      <c r="E808" s="8"/>
      <c r="F808" s="8"/>
      <c r="G808" s="8"/>
      <c r="H808" s="8"/>
      <c r="I808" s="8"/>
      <c r="J808" s="14"/>
    </row>
    <row r="809" ht="12.75" customHeight="1">
      <c r="A809" s="8"/>
      <c r="B809" s="74"/>
      <c r="C809" s="8"/>
      <c r="D809" s="14"/>
      <c r="E809" s="8"/>
      <c r="F809" s="8"/>
      <c r="G809" s="8"/>
      <c r="H809" s="8"/>
      <c r="I809" s="8"/>
      <c r="J809" s="14"/>
    </row>
    <row r="810" ht="12.75" customHeight="1">
      <c r="A810" s="8"/>
      <c r="B810" s="74"/>
      <c r="C810" s="8"/>
      <c r="D810" s="14"/>
      <c r="E810" s="8"/>
      <c r="F810" s="8"/>
      <c r="G810" s="8"/>
      <c r="H810" s="8"/>
      <c r="I810" s="8"/>
      <c r="J810" s="14"/>
    </row>
    <row r="811" ht="12.75" customHeight="1">
      <c r="A811" s="8"/>
      <c r="B811" s="74"/>
      <c r="C811" s="8"/>
      <c r="D811" s="14"/>
      <c r="E811" s="8"/>
      <c r="F811" s="8"/>
      <c r="G811" s="8"/>
      <c r="H811" s="8"/>
      <c r="I811" s="8"/>
      <c r="J811" s="14"/>
    </row>
    <row r="812" ht="12.75" customHeight="1">
      <c r="A812" s="8"/>
      <c r="B812" s="74"/>
      <c r="C812" s="8"/>
      <c r="D812" s="14"/>
      <c r="E812" s="8"/>
      <c r="F812" s="8"/>
      <c r="G812" s="8"/>
      <c r="H812" s="8"/>
      <c r="I812" s="8"/>
      <c r="J812" s="14"/>
    </row>
    <row r="813" ht="12.75" customHeight="1">
      <c r="A813" s="8"/>
      <c r="B813" s="74"/>
      <c r="C813" s="8"/>
      <c r="D813" s="14"/>
      <c r="E813" s="8"/>
      <c r="F813" s="8"/>
      <c r="G813" s="8"/>
      <c r="H813" s="8"/>
      <c r="I813" s="8"/>
      <c r="J813" s="14"/>
    </row>
    <row r="814" ht="12.75" customHeight="1">
      <c r="A814" s="8"/>
      <c r="B814" s="74"/>
      <c r="C814" s="8"/>
      <c r="D814" s="14"/>
      <c r="E814" s="8"/>
      <c r="F814" s="8"/>
      <c r="G814" s="8"/>
      <c r="H814" s="8"/>
      <c r="I814" s="8"/>
      <c r="J814" s="14"/>
    </row>
    <row r="815" ht="12.75" customHeight="1">
      <c r="A815" s="8"/>
      <c r="B815" s="74"/>
      <c r="C815" s="8"/>
      <c r="D815" s="14"/>
      <c r="E815" s="8"/>
      <c r="F815" s="8"/>
      <c r="G815" s="8"/>
      <c r="H815" s="8"/>
      <c r="I815" s="8"/>
      <c r="J815" s="14"/>
    </row>
    <row r="816" ht="12.75" customHeight="1">
      <c r="A816" s="8"/>
      <c r="B816" s="74"/>
      <c r="C816" s="8"/>
      <c r="D816" s="14"/>
      <c r="E816" s="8"/>
      <c r="F816" s="8"/>
      <c r="G816" s="8"/>
      <c r="H816" s="8"/>
      <c r="I816" s="8"/>
      <c r="J816" s="14"/>
    </row>
    <row r="817" ht="12.75" customHeight="1">
      <c r="A817" s="8"/>
      <c r="B817" s="74"/>
      <c r="C817" s="8"/>
      <c r="D817" s="14"/>
      <c r="E817" s="8"/>
      <c r="F817" s="8"/>
      <c r="G817" s="8"/>
      <c r="H817" s="8"/>
      <c r="I817" s="8"/>
      <c r="J817" s="14"/>
    </row>
    <row r="818" ht="12.75" customHeight="1">
      <c r="A818" s="8"/>
      <c r="B818" s="74"/>
      <c r="C818" s="8"/>
      <c r="D818" s="14"/>
      <c r="E818" s="8"/>
      <c r="F818" s="8"/>
      <c r="G818" s="8"/>
      <c r="H818" s="8"/>
      <c r="I818" s="8"/>
      <c r="J818" s="14"/>
    </row>
    <row r="819" ht="12.75" customHeight="1">
      <c r="A819" s="8"/>
      <c r="B819" s="74"/>
      <c r="C819" s="8"/>
      <c r="D819" s="14"/>
      <c r="E819" s="8"/>
      <c r="F819" s="8"/>
      <c r="G819" s="8"/>
      <c r="H819" s="8"/>
      <c r="I819" s="8"/>
      <c r="J819" s="14"/>
    </row>
    <row r="820" ht="12.75" customHeight="1">
      <c r="A820" s="8"/>
      <c r="B820" s="74"/>
      <c r="C820" s="8"/>
      <c r="D820" s="14"/>
      <c r="E820" s="8"/>
      <c r="F820" s="8"/>
      <c r="G820" s="8"/>
      <c r="H820" s="8"/>
      <c r="I820" s="8"/>
      <c r="J820" s="14"/>
    </row>
    <row r="821" ht="12.75" customHeight="1">
      <c r="A821" s="8"/>
      <c r="B821" s="74"/>
      <c r="C821" s="8"/>
      <c r="D821" s="14"/>
      <c r="E821" s="8"/>
      <c r="F821" s="8"/>
      <c r="G821" s="8"/>
      <c r="H821" s="8"/>
      <c r="I821" s="8"/>
      <c r="J821" s="14"/>
    </row>
    <row r="822" ht="12.75" customHeight="1">
      <c r="A822" s="8"/>
      <c r="B822" s="74"/>
      <c r="C822" s="8"/>
      <c r="D822" s="14"/>
      <c r="E822" s="8"/>
      <c r="F822" s="8"/>
      <c r="G822" s="8"/>
      <c r="H822" s="8"/>
      <c r="I822" s="8"/>
      <c r="J822" s="14"/>
    </row>
    <row r="823" ht="12.75" customHeight="1">
      <c r="A823" s="8"/>
      <c r="B823" s="74"/>
      <c r="C823" s="8"/>
      <c r="D823" s="14"/>
      <c r="E823" s="8"/>
      <c r="F823" s="8"/>
      <c r="G823" s="8"/>
      <c r="H823" s="8"/>
      <c r="I823" s="8"/>
      <c r="J823" s="14"/>
    </row>
    <row r="824" ht="12.75" customHeight="1">
      <c r="A824" s="8"/>
      <c r="B824" s="74"/>
      <c r="C824" s="8"/>
      <c r="D824" s="14"/>
      <c r="E824" s="8"/>
      <c r="F824" s="8"/>
      <c r="G824" s="8"/>
      <c r="H824" s="8"/>
      <c r="I824" s="8"/>
      <c r="J824" s="14"/>
    </row>
    <row r="825" ht="12.75" customHeight="1">
      <c r="A825" s="8"/>
      <c r="B825" s="74"/>
      <c r="C825" s="8"/>
      <c r="D825" s="14"/>
      <c r="E825" s="8"/>
      <c r="F825" s="8"/>
      <c r="G825" s="8"/>
      <c r="H825" s="8"/>
      <c r="I825" s="8"/>
      <c r="J825" s="14"/>
    </row>
    <row r="826" ht="12.75" customHeight="1">
      <c r="A826" s="8"/>
      <c r="B826" s="74"/>
      <c r="C826" s="8"/>
      <c r="D826" s="14"/>
      <c r="E826" s="8"/>
      <c r="F826" s="8"/>
      <c r="G826" s="8"/>
      <c r="H826" s="8"/>
      <c r="I826" s="8"/>
      <c r="J826" s="14"/>
    </row>
    <row r="827" ht="12.75" customHeight="1">
      <c r="A827" s="8"/>
      <c r="B827" s="74"/>
      <c r="C827" s="8"/>
      <c r="D827" s="14"/>
      <c r="E827" s="8"/>
      <c r="F827" s="8"/>
      <c r="G827" s="8"/>
      <c r="H827" s="8"/>
      <c r="I827" s="8"/>
      <c r="J827" s="14"/>
    </row>
    <row r="828" ht="12.75" customHeight="1">
      <c r="A828" s="8"/>
      <c r="B828" s="74"/>
      <c r="C828" s="8"/>
      <c r="D828" s="14"/>
      <c r="E828" s="8"/>
      <c r="F828" s="8"/>
      <c r="G828" s="8"/>
      <c r="H828" s="8"/>
      <c r="I828" s="8"/>
      <c r="J828" s="14"/>
    </row>
    <row r="829" ht="12.75" customHeight="1">
      <c r="A829" s="8"/>
      <c r="B829" s="74"/>
      <c r="C829" s="8"/>
      <c r="D829" s="14"/>
      <c r="E829" s="8"/>
      <c r="F829" s="8"/>
      <c r="G829" s="8"/>
      <c r="H829" s="8"/>
      <c r="I829" s="8"/>
      <c r="J829" s="14"/>
    </row>
    <row r="830" ht="12.75" customHeight="1">
      <c r="A830" s="8"/>
      <c r="B830" s="74"/>
      <c r="C830" s="8"/>
      <c r="D830" s="14"/>
      <c r="E830" s="8"/>
      <c r="F830" s="8"/>
      <c r="G830" s="8"/>
      <c r="H830" s="8"/>
      <c r="I830" s="8"/>
      <c r="J830" s="14"/>
    </row>
    <row r="831" ht="12.75" customHeight="1">
      <c r="A831" s="8"/>
      <c r="B831" s="74"/>
      <c r="C831" s="8"/>
      <c r="D831" s="14"/>
      <c r="E831" s="8"/>
      <c r="F831" s="8"/>
      <c r="G831" s="8"/>
      <c r="H831" s="8"/>
      <c r="I831" s="8"/>
      <c r="J831" s="14"/>
    </row>
    <row r="832" ht="12.75" customHeight="1">
      <c r="A832" s="8"/>
      <c r="B832" s="74"/>
      <c r="C832" s="8"/>
      <c r="D832" s="14"/>
      <c r="E832" s="8"/>
      <c r="F832" s="8"/>
      <c r="G832" s="8"/>
      <c r="H832" s="8"/>
      <c r="I832" s="8"/>
      <c r="J832" s="14"/>
    </row>
    <row r="833" ht="12.75" customHeight="1">
      <c r="A833" s="8"/>
      <c r="B833" s="74"/>
      <c r="C833" s="8"/>
      <c r="D833" s="14"/>
      <c r="E833" s="8"/>
      <c r="F833" s="8"/>
      <c r="G833" s="8"/>
      <c r="H833" s="8"/>
      <c r="I833" s="8"/>
      <c r="J833" s="14"/>
    </row>
    <row r="834" ht="12.75" customHeight="1">
      <c r="A834" s="8"/>
      <c r="B834" s="74"/>
      <c r="C834" s="8"/>
      <c r="D834" s="14"/>
      <c r="E834" s="8"/>
      <c r="F834" s="8"/>
      <c r="G834" s="8"/>
      <c r="H834" s="8"/>
      <c r="I834" s="8"/>
      <c r="J834" s="14"/>
    </row>
    <row r="835" ht="12.75" customHeight="1">
      <c r="A835" s="8"/>
      <c r="B835" s="74"/>
      <c r="C835" s="8"/>
      <c r="D835" s="14"/>
      <c r="E835" s="8"/>
      <c r="F835" s="8"/>
      <c r="G835" s="8"/>
      <c r="H835" s="8"/>
      <c r="I835" s="8"/>
      <c r="J835" s="14"/>
    </row>
    <row r="836" ht="12.75" customHeight="1">
      <c r="A836" s="8"/>
      <c r="B836" s="74"/>
      <c r="C836" s="8"/>
      <c r="D836" s="14"/>
      <c r="E836" s="8"/>
      <c r="F836" s="8"/>
      <c r="G836" s="8"/>
      <c r="H836" s="8"/>
      <c r="I836" s="8"/>
      <c r="J836" s="14"/>
    </row>
    <row r="837" ht="12.75" customHeight="1">
      <c r="A837" s="8"/>
      <c r="B837" s="74"/>
      <c r="C837" s="8"/>
      <c r="D837" s="14"/>
      <c r="E837" s="8"/>
      <c r="F837" s="8"/>
      <c r="G837" s="8"/>
      <c r="H837" s="8"/>
      <c r="I837" s="8"/>
      <c r="J837" s="14"/>
    </row>
    <row r="838" ht="12.75" customHeight="1">
      <c r="A838" s="8"/>
      <c r="B838" s="74"/>
      <c r="C838" s="8"/>
      <c r="D838" s="14"/>
      <c r="E838" s="8"/>
      <c r="F838" s="8"/>
      <c r="G838" s="8"/>
      <c r="H838" s="8"/>
      <c r="I838" s="8"/>
      <c r="J838" s="14"/>
    </row>
    <row r="839" ht="12.75" customHeight="1">
      <c r="A839" s="8"/>
      <c r="B839" s="74"/>
      <c r="C839" s="8"/>
      <c r="D839" s="14"/>
      <c r="E839" s="8"/>
      <c r="F839" s="8"/>
      <c r="G839" s="8"/>
      <c r="H839" s="8"/>
      <c r="I839" s="8"/>
      <c r="J839" s="14"/>
    </row>
    <row r="840" ht="12.75" customHeight="1">
      <c r="A840" s="8"/>
      <c r="B840" s="74"/>
      <c r="C840" s="8"/>
      <c r="D840" s="14"/>
      <c r="E840" s="8"/>
      <c r="F840" s="8"/>
      <c r="G840" s="8"/>
      <c r="H840" s="8"/>
      <c r="I840" s="8"/>
      <c r="J840" s="14"/>
    </row>
    <row r="841" ht="12.75" customHeight="1">
      <c r="A841" s="8"/>
      <c r="B841" s="74"/>
      <c r="C841" s="8"/>
      <c r="D841" s="14"/>
      <c r="E841" s="8"/>
      <c r="F841" s="8"/>
      <c r="G841" s="8"/>
      <c r="H841" s="8"/>
      <c r="I841" s="8"/>
      <c r="J841" s="14"/>
    </row>
    <row r="842" ht="12.75" customHeight="1">
      <c r="A842" s="8"/>
      <c r="B842" s="74"/>
      <c r="C842" s="8"/>
      <c r="D842" s="14"/>
      <c r="E842" s="8"/>
      <c r="F842" s="8"/>
      <c r="G842" s="8"/>
      <c r="H842" s="8"/>
      <c r="I842" s="8"/>
      <c r="J842" s="14"/>
    </row>
    <row r="843" ht="12.75" customHeight="1">
      <c r="A843" s="8"/>
      <c r="B843" s="74"/>
      <c r="C843" s="8"/>
      <c r="D843" s="14"/>
      <c r="E843" s="8"/>
      <c r="F843" s="8"/>
      <c r="G843" s="8"/>
      <c r="H843" s="8"/>
      <c r="I843" s="8"/>
      <c r="J843" s="14"/>
    </row>
    <row r="844" ht="12.75" customHeight="1">
      <c r="A844" s="8"/>
      <c r="B844" s="74"/>
      <c r="C844" s="8"/>
      <c r="D844" s="14"/>
      <c r="E844" s="8"/>
      <c r="F844" s="8"/>
      <c r="G844" s="8"/>
      <c r="H844" s="8"/>
      <c r="I844" s="8"/>
      <c r="J844" s="14"/>
    </row>
    <row r="845" ht="12.75" customHeight="1">
      <c r="A845" s="8"/>
      <c r="B845" s="74"/>
      <c r="C845" s="8"/>
      <c r="D845" s="14"/>
      <c r="E845" s="8"/>
      <c r="F845" s="8"/>
      <c r="G845" s="8"/>
      <c r="H845" s="8"/>
      <c r="I845" s="8"/>
      <c r="J845" s="14"/>
    </row>
    <row r="846" ht="12.75" customHeight="1">
      <c r="A846" s="8"/>
      <c r="B846" s="74"/>
      <c r="C846" s="8"/>
      <c r="D846" s="14"/>
      <c r="E846" s="8"/>
      <c r="F846" s="8"/>
      <c r="G846" s="8"/>
      <c r="H846" s="8"/>
      <c r="I846" s="8"/>
      <c r="J846" s="14"/>
    </row>
    <row r="847" ht="12.75" customHeight="1">
      <c r="A847" s="8"/>
      <c r="B847" s="74"/>
      <c r="C847" s="8"/>
      <c r="D847" s="14"/>
      <c r="E847" s="8"/>
      <c r="F847" s="8"/>
      <c r="G847" s="8"/>
      <c r="H847" s="8"/>
      <c r="I847" s="8"/>
      <c r="J847" s="14"/>
    </row>
    <row r="848" ht="12.75" customHeight="1">
      <c r="A848" s="8"/>
      <c r="B848" s="74"/>
      <c r="C848" s="8"/>
      <c r="D848" s="14"/>
      <c r="E848" s="8"/>
      <c r="F848" s="8"/>
      <c r="G848" s="8"/>
      <c r="H848" s="8"/>
      <c r="I848" s="8"/>
      <c r="J848" s="14"/>
    </row>
    <row r="849" ht="12.75" customHeight="1">
      <c r="A849" s="8"/>
      <c r="B849" s="74"/>
      <c r="C849" s="8"/>
      <c r="D849" s="14"/>
      <c r="E849" s="8"/>
      <c r="F849" s="8"/>
      <c r="G849" s="8"/>
      <c r="H849" s="8"/>
      <c r="I849" s="8"/>
      <c r="J849" s="14"/>
    </row>
    <row r="850" ht="12.75" customHeight="1">
      <c r="A850" s="8"/>
      <c r="B850" s="74"/>
      <c r="C850" s="8"/>
      <c r="D850" s="14"/>
      <c r="E850" s="8"/>
      <c r="F850" s="8"/>
      <c r="G850" s="8"/>
      <c r="H850" s="8"/>
      <c r="I850" s="8"/>
      <c r="J850" s="14"/>
    </row>
    <row r="851" ht="12.75" customHeight="1">
      <c r="A851" s="8"/>
      <c r="B851" s="74"/>
      <c r="C851" s="8"/>
      <c r="D851" s="14"/>
      <c r="E851" s="8"/>
      <c r="F851" s="8"/>
      <c r="G851" s="8"/>
      <c r="H851" s="8"/>
      <c r="I851" s="8"/>
      <c r="J851" s="14"/>
    </row>
    <row r="852" ht="12.75" customHeight="1">
      <c r="A852" s="8"/>
      <c r="B852" s="74"/>
      <c r="C852" s="8"/>
      <c r="D852" s="14"/>
      <c r="E852" s="8"/>
      <c r="F852" s="8"/>
      <c r="G852" s="8"/>
      <c r="H852" s="8"/>
      <c r="I852" s="8"/>
      <c r="J852" s="14"/>
    </row>
    <row r="853" ht="12.75" customHeight="1">
      <c r="A853" s="8"/>
      <c r="B853" s="74"/>
      <c r="C853" s="8"/>
      <c r="D853" s="14"/>
      <c r="E853" s="8"/>
      <c r="F853" s="8"/>
      <c r="G853" s="8"/>
      <c r="H853" s="8"/>
      <c r="I853" s="8"/>
      <c r="J853" s="14"/>
    </row>
    <row r="854" ht="12.75" customHeight="1">
      <c r="A854" s="8"/>
      <c r="B854" s="74"/>
      <c r="C854" s="8"/>
      <c r="D854" s="14"/>
      <c r="E854" s="8"/>
      <c r="F854" s="8"/>
      <c r="G854" s="8"/>
      <c r="H854" s="8"/>
      <c r="I854" s="8"/>
      <c r="J854" s="14"/>
    </row>
    <row r="855" ht="12.75" customHeight="1">
      <c r="A855" s="8"/>
      <c r="B855" s="74"/>
      <c r="C855" s="8"/>
      <c r="D855" s="14"/>
      <c r="E855" s="8"/>
      <c r="F855" s="8"/>
      <c r="G855" s="8"/>
      <c r="H855" s="8"/>
      <c r="I855" s="8"/>
      <c r="J855" s="14"/>
    </row>
    <row r="856" ht="12.75" customHeight="1">
      <c r="A856" s="8"/>
      <c r="B856" s="74"/>
      <c r="C856" s="8"/>
      <c r="D856" s="14"/>
      <c r="E856" s="8"/>
      <c r="F856" s="8"/>
      <c r="G856" s="8"/>
      <c r="H856" s="8"/>
      <c r="I856" s="8"/>
      <c r="J856" s="14"/>
    </row>
    <row r="857" ht="12.75" customHeight="1">
      <c r="A857" s="8"/>
      <c r="B857" s="74"/>
      <c r="C857" s="8"/>
      <c r="D857" s="14"/>
      <c r="E857" s="8"/>
      <c r="F857" s="8"/>
      <c r="G857" s="8"/>
      <c r="H857" s="8"/>
      <c r="I857" s="8"/>
      <c r="J857" s="14"/>
    </row>
    <row r="858" ht="12.75" customHeight="1">
      <c r="A858" s="8"/>
      <c r="B858" s="74"/>
      <c r="C858" s="8"/>
      <c r="D858" s="14"/>
      <c r="E858" s="8"/>
      <c r="F858" s="8"/>
      <c r="G858" s="8"/>
      <c r="H858" s="8"/>
      <c r="I858" s="8"/>
      <c r="J858" s="14"/>
    </row>
    <row r="859" ht="12.75" customHeight="1">
      <c r="A859" s="8"/>
      <c r="B859" s="74"/>
      <c r="C859" s="8"/>
      <c r="D859" s="14"/>
      <c r="E859" s="8"/>
      <c r="F859" s="8"/>
      <c r="G859" s="8"/>
      <c r="H859" s="8"/>
      <c r="I859" s="8"/>
      <c r="J859" s="14"/>
    </row>
    <row r="860" ht="12.75" customHeight="1">
      <c r="A860" s="8"/>
      <c r="B860" s="74"/>
      <c r="C860" s="8"/>
      <c r="D860" s="14"/>
      <c r="E860" s="8"/>
      <c r="F860" s="8"/>
      <c r="G860" s="8"/>
      <c r="H860" s="8"/>
      <c r="I860" s="8"/>
      <c r="J860" s="14"/>
    </row>
    <row r="861" ht="12.75" customHeight="1">
      <c r="A861" s="8"/>
      <c r="B861" s="74"/>
      <c r="C861" s="8"/>
      <c r="D861" s="14"/>
      <c r="E861" s="8"/>
      <c r="F861" s="8"/>
      <c r="G861" s="8"/>
      <c r="H861" s="8"/>
      <c r="I861" s="8"/>
      <c r="J861" s="14"/>
    </row>
    <row r="862" ht="12.75" customHeight="1">
      <c r="A862" s="8"/>
      <c r="B862" s="74"/>
      <c r="C862" s="8"/>
      <c r="D862" s="14"/>
      <c r="E862" s="8"/>
      <c r="F862" s="8"/>
      <c r="G862" s="8"/>
      <c r="H862" s="8"/>
      <c r="I862" s="8"/>
      <c r="J862" s="14"/>
    </row>
    <row r="863" ht="12.75" customHeight="1">
      <c r="A863" s="8"/>
      <c r="B863" s="74"/>
      <c r="C863" s="8"/>
      <c r="D863" s="14"/>
      <c r="E863" s="8"/>
      <c r="F863" s="8"/>
      <c r="G863" s="8"/>
      <c r="H863" s="8"/>
      <c r="I863" s="8"/>
      <c r="J863" s="14"/>
    </row>
    <row r="864" ht="12.75" customHeight="1">
      <c r="A864" s="8"/>
      <c r="B864" s="74"/>
      <c r="C864" s="8"/>
      <c r="D864" s="14"/>
      <c r="E864" s="8"/>
      <c r="F864" s="8"/>
      <c r="G864" s="8"/>
      <c r="H864" s="8"/>
      <c r="I864" s="8"/>
      <c r="J864" s="14"/>
    </row>
    <row r="865" ht="12.75" customHeight="1">
      <c r="A865" s="8"/>
      <c r="B865" s="74"/>
      <c r="C865" s="8"/>
      <c r="D865" s="14"/>
      <c r="E865" s="8"/>
      <c r="F865" s="8"/>
      <c r="G865" s="8"/>
      <c r="H865" s="8"/>
      <c r="I865" s="8"/>
      <c r="J865" s="14"/>
    </row>
    <row r="866" ht="12.75" customHeight="1">
      <c r="A866" s="8"/>
      <c r="B866" s="74"/>
      <c r="C866" s="8"/>
      <c r="D866" s="14"/>
      <c r="E866" s="8"/>
      <c r="F866" s="8"/>
      <c r="G866" s="8"/>
      <c r="H866" s="8"/>
      <c r="I866" s="8"/>
      <c r="J866" s="14"/>
    </row>
    <row r="867" ht="12.75" customHeight="1">
      <c r="A867" s="8"/>
      <c r="B867" s="74"/>
      <c r="C867" s="8"/>
      <c r="D867" s="14"/>
      <c r="E867" s="8"/>
      <c r="F867" s="8"/>
      <c r="G867" s="8"/>
      <c r="H867" s="8"/>
      <c r="I867" s="8"/>
      <c r="J867" s="14"/>
    </row>
    <row r="868" ht="12.75" customHeight="1">
      <c r="A868" s="8"/>
      <c r="B868" s="74"/>
      <c r="C868" s="8"/>
      <c r="D868" s="14"/>
      <c r="E868" s="8"/>
      <c r="F868" s="8"/>
      <c r="G868" s="8"/>
      <c r="H868" s="8"/>
      <c r="I868" s="8"/>
      <c r="J868" s="14"/>
    </row>
    <row r="869" ht="12.75" customHeight="1">
      <c r="A869" s="8"/>
      <c r="B869" s="74"/>
      <c r="C869" s="8"/>
      <c r="D869" s="14"/>
      <c r="E869" s="8"/>
      <c r="F869" s="8"/>
      <c r="G869" s="8"/>
      <c r="H869" s="8"/>
      <c r="I869" s="8"/>
      <c r="J869" s="14"/>
    </row>
    <row r="870" ht="12.75" customHeight="1">
      <c r="A870" s="8"/>
      <c r="B870" s="74"/>
      <c r="C870" s="8"/>
      <c r="D870" s="14"/>
      <c r="E870" s="8"/>
      <c r="F870" s="8"/>
      <c r="G870" s="8"/>
      <c r="H870" s="8"/>
      <c r="I870" s="8"/>
      <c r="J870" s="14"/>
    </row>
    <row r="871" ht="12.75" customHeight="1">
      <c r="A871" s="8"/>
      <c r="B871" s="74"/>
      <c r="C871" s="8"/>
      <c r="D871" s="14"/>
      <c r="E871" s="8"/>
      <c r="F871" s="8"/>
      <c r="G871" s="8"/>
      <c r="H871" s="8"/>
      <c r="I871" s="8"/>
      <c r="J871" s="14"/>
    </row>
    <row r="872" ht="12.75" customHeight="1">
      <c r="A872" s="8"/>
      <c r="B872" s="74"/>
      <c r="C872" s="8"/>
      <c r="D872" s="14"/>
      <c r="E872" s="8"/>
      <c r="F872" s="8"/>
      <c r="G872" s="8"/>
      <c r="H872" s="8"/>
      <c r="I872" s="8"/>
      <c r="J872" s="14"/>
    </row>
    <row r="873" ht="12.75" customHeight="1">
      <c r="A873" s="8"/>
      <c r="B873" s="74"/>
      <c r="C873" s="8"/>
      <c r="D873" s="14"/>
      <c r="E873" s="8"/>
      <c r="F873" s="8"/>
      <c r="G873" s="8"/>
      <c r="H873" s="8"/>
      <c r="I873" s="8"/>
      <c r="J873" s="14"/>
    </row>
    <row r="874" ht="12.75" customHeight="1">
      <c r="A874" s="8"/>
      <c r="B874" s="74"/>
      <c r="C874" s="8"/>
      <c r="D874" s="14"/>
      <c r="E874" s="8"/>
      <c r="F874" s="8"/>
      <c r="G874" s="8"/>
      <c r="H874" s="8"/>
      <c r="I874" s="8"/>
      <c r="J874" s="14"/>
    </row>
    <row r="875" ht="12.75" customHeight="1">
      <c r="A875" s="8"/>
      <c r="B875" s="74"/>
      <c r="C875" s="8"/>
      <c r="D875" s="14"/>
      <c r="E875" s="8"/>
      <c r="F875" s="8"/>
      <c r="G875" s="8"/>
      <c r="H875" s="8"/>
      <c r="I875" s="8"/>
      <c r="J875" s="14"/>
    </row>
    <row r="876" ht="12.75" customHeight="1">
      <c r="A876" s="8"/>
      <c r="B876" s="74"/>
      <c r="C876" s="8"/>
      <c r="D876" s="14"/>
      <c r="E876" s="8"/>
      <c r="F876" s="8"/>
      <c r="G876" s="8"/>
      <c r="H876" s="8"/>
      <c r="I876" s="8"/>
      <c r="J876" s="14"/>
    </row>
    <row r="877" ht="12.75" customHeight="1">
      <c r="A877" s="8"/>
      <c r="B877" s="74"/>
      <c r="C877" s="8"/>
      <c r="D877" s="14"/>
      <c r="E877" s="8"/>
      <c r="F877" s="8"/>
      <c r="G877" s="8"/>
      <c r="H877" s="8"/>
      <c r="I877" s="8"/>
      <c r="J877" s="14"/>
    </row>
    <row r="878" ht="12.75" customHeight="1">
      <c r="A878" s="8"/>
      <c r="B878" s="74"/>
      <c r="C878" s="8"/>
      <c r="D878" s="14"/>
      <c r="E878" s="8"/>
      <c r="F878" s="8"/>
      <c r="G878" s="8"/>
      <c r="H878" s="8"/>
      <c r="I878" s="8"/>
      <c r="J878" s="14"/>
    </row>
    <row r="879" ht="12.75" customHeight="1">
      <c r="A879" s="8"/>
      <c r="B879" s="74"/>
      <c r="C879" s="8"/>
      <c r="D879" s="14"/>
      <c r="E879" s="8"/>
      <c r="F879" s="8"/>
      <c r="G879" s="8"/>
      <c r="H879" s="8"/>
      <c r="I879" s="8"/>
      <c r="J879" s="14"/>
    </row>
    <row r="880" ht="12.75" customHeight="1">
      <c r="A880" s="8"/>
      <c r="B880" s="74"/>
      <c r="C880" s="8"/>
      <c r="D880" s="14"/>
      <c r="E880" s="8"/>
      <c r="F880" s="8"/>
      <c r="G880" s="8"/>
      <c r="H880" s="8"/>
      <c r="I880" s="8"/>
      <c r="J880" s="14"/>
    </row>
    <row r="881" ht="12.75" customHeight="1">
      <c r="A881" s="8"/>
      <c r="B881" s="74"/>
      <c r="C881" s="8"/>
      <c r="D881" s="14"/>
      <c r="E881" s="8"/>
      <c r="F881" s="8"/>
      <c r="G881" s="8"/>
      <c r="H881" s="8"/>
      <c r="I881" s="8"/>
      <c r="J881" s="14"/>
    </row>
    <row r="882" ht="12.75" customHeight="1">
      <c r="A882" s="8"/>
      <c r="B882" s="74"/>
      <c r="C882" s="8"/>
      <c r="D882" s="14"/>
      <c r="E882" s="8"/>
      <c r="F882" s="8"/>
      <c r="G882" s="8"/>
      <c r="H882" s="8"/>
      <c r="I882" s="8"/>
      <c r="J882" s="14"/>
    </row>
    <row r="883" ht="12.75" customHeight="1">
      <c r="A883" s="8"/>
      <c r="B883" s="74"/>
      <c r="C883" s="8"/>
      <c r="D883" s="14"/>
      <c r="E883" s="8"/>
      <c r="F883" s="8"/>
      <c r="G883" s="8"/>
      <c r="H883" s="8"/>
      <c r="I883" s="8"/>
      <c r="J883" s="14"/>
    </row>
    <row r="884" ht="12.75" customHeight="1">
      <c r="A884" s="8"/>
      <c r="B884" s="74"/>
      <c r="C884" s="8"/>
      <c r="D884" s="14"/>
      <c r="E884" s="8"/>
      <c r="F884" s="8"/>
      <c r="G884" s="8"/>
      <c r="H884" s="8"/>
      <c r="I884" s="8"/>
      <c r="J884" s="14"/>
    </row>
    <row r="885" ht="12.75" customHeight="1">
      <c r="A885" s="8"/>
      <c r="B885" s="74"/>
      <c r="C885" s="8"/>
      <c r="D885" s="14"/>
      <c r="E885" s="8"/>
      <c r="F885" s="8"/>
      <c r="G885" s="8"/>
      <c r="H885" s="8"/>
      <c r="I885" s="8"/>
      <c r="J885" s="14"/>
    </row>
    <row r="886" ht="12.75" customHeight="1">
      <c r="A886" s="8"/>
      <c r="B886" s="74"/>
      <c r="C886" s="8"/>
      <c r="D886" s="14"/>
      <c r="E886" s="8"/>
      <c r="F886" s="8"/>
      <c r="G886" s="8"/>
      <c r="H886" s="8"/>
      <c r="I886" s="8"/>
      <c r="J886" s="14"/>
    </row>
    <row r="887" ht="12.75" customHeight="1">
      <c r="A887" s="8"/>
      <c r="B887" s="74"/>
      <c r="C887" s="8"/>
      <c r="D887" s="14"/>
      <c r="E887" s="8"/>
      <c r="F887" s="8"/>
      <c r="G887" s="8"/>
      <c r="H887" s="8"/>
      <c r="I887" s="8"/>
      <c r="J887" s="14"/>
    </row>
    <row r="888" ht="12.75" customHeight="1">
      <c r="A888" s="8"/>
      <c r="B888" s="74"/>
      <c r="C888" s="8"/>
      <c r="D888" s="14"/>
      <c r="E888" s="8"/>
      <c r="F888" s="8"/>
      <c r="G888" s="8"/>
      <c r="H888" s="8"/>
      <c r="I888" s="8"/>
      <c r="J888" s="14"/>
    </row>
    <row r="889" ht="12.75" customHeight="1">
      <c r="A889" s="8"/>
      <c r="B889" s="74"/>
      <c r="C889" s="8"/>
      <c r="D889" s="14"/>
      <c r="E889" s="8"/>
      <c r="F889" s="8"/>
      <c r="G889" s="8"/>
      <c r="H889" s="8"/>
      <c r="I889" s="8"/>
      <c r="J889" s="14"/>
    </row>
    <row r="890" ht="12.75" customHeight="1">
      <c r="A890" s="8"/>
      <c r="B890" s="74"/>
      <c r="C890" s="8"/>
      <c r="D890" s="14"/>
      <c r="E890" s="8"/>
      <c r="F890" s="8"/>
      <c r="G890" s="8"/>
      <c r="H890" s="8"/>
      <c r="I890" s="8"/>
      <c r="J890" s="14"/>
    </row>
    <row r="891" ht="12.75" customHeight="1">
      <c r="A891" s="8"/>
      <c r="B891" s="74"/>
      <c r="C891" s="8"/>
      <c r="D891" s="14"/>
      <c r="E891" s="8"/>
      <c r="F891" s="8"/>
      <c r="G891" s="8"/>
      <c r="H891" s="8"/>
      <c r="I891" s="8"/>
      <c r="J891" s="14"/>
    </row>
    <row r="892" ht="12.75" customHeight="1">
      <c r="A892" s="8"/>
      <c r="B892" s="74"/>
      <c r="C892" s="8"/>
      <c r="D892" s="14"/>
      <c r="E892" s="8"/>
      <c r="F892" s="8"/>
      <c r="G892" s="8"/>
      <c r="H892" s="8"/>
      <c r="I892" s="8"/>
      <c r="J892" s="14"/>
    </row>
    <row r="893" ht="12.75" customHeight="1">
      <c r="A893" s="8"/>
      <c r="B893" s="74"/>
      <c r="C893" s="8"/>
      <c r="D893" s="14"/>
      <c r="E893" s="8"/>
      <c r="F893" s="8"/>
      <c r="G893" s="8"/>
      <c r="H893" s="8"/>
      <c r="I893" s="8"/>
      <c r="J893" s="14"/>
    </row>
    <row r="894" ht="12.75" customHeight="1">
      <c r="A894" s="8"/>
      <c r="B894" s="74"/>
      <c r="C894" s="8"/>
      <c r="D894" s="14"/>
      <c r="E894" s="8"/>
      <c r="F894" s="8"/>
      <c r="G894" s="8"/>
      <c r="H894" s="8"/>
      <c r="I894" s="8"/>
      <c r="J894" s="14"/>
    </row>
    <row r="895" ht="12.75" customHeight="1">
      <c r="A895" s="8"/>
      <c r="B895" s="74"/>
      <c r="C895" s="8"/>
      <c r="D895" s="14"/>
      <c r="E895" s="8"/>
      <c r="F895" s="8"/>
      <c r="G895" s="8"/>
      <c r="H895" s="8"/>
      <c r="I895" s="8"/>
      <c r="J895" s="14"/>
    </row>
    <row r="896" ht="12.75" customHeight="1">
      <c r="A896" s="8"/>
      <c r="B896" s="74"/>
      <c r="C896" s="8"/>
      <c r="D896" s="14"/>
      <c r="E896" s="8"/>
      <c r="F896" s="8"/>
      <c r="G896" s="8"/>
      <c r="H896" s="8"/>
      <c r="I896" s="8"/>
      <c r="J896" s="14"/>
    </row>
    <row r="897" ht="12.75" customHeight="1">
      <c r="A897" s="8"/>
      <c r="B897" s="74"/>
      <c r="C897" s="8"/>
      <c r="D897" s="14"/>
      <c r="E897" s="8"/>
      <c r="F897" s="8"/>
      <c r="G897" s="8"/>
      <c r="H897" s="8"/>
      <c r="I897" s="8"/>
      <c r="J897" s="14"/>
    </row>
    <row r="898" ht="12.75" customHeight="1">
      <c r="A898" s="8"/>
      <c r="B898" s="74"/>
      <c r="C898" s="8"/>
      <c r="D898" s="14"/>
      <c r="E898" s="8"/>
      <c r="F898" s="8"/>
      <c r="G898" s="8"/>
      <c r="H898" s="8"/>
      <c r="I898" s="8"/>
      <c r="J898" s="14"/>
    </row>
    <row r="899" ht="12.75" customHeight="1">
      <c r="A899" s="8"/>
      <c r="B899" s="74"/>
      <c r="C899" s="8"/>
      <c r="D899" s="14"/>
      <c r="E899" s="8"/>
      <c r="F899" s="8"/>
      <c r="G899" s="8"/>
      <c r="H899" s="8"/>
      <c r="I899" s="8"/>
      <c r="J899" s="14"/>
    </row>
    <row r="900" ht="12.75" customHeight="1">
      <c r="A900" s="8"/>
      <c r="B900" s="74"/>
      <c r="C900" s="8"/>
      <c r="D900" s="14"/>
      <c r="E900" s="8"/>
      <c r="F900" s="8"/>
      <c r="G900" s="8"/>
      <c r="H900" s="8"/>
      <c r="I900" s="8"/>
      <c r="J900" s="14"/>
    </row>
    <row r="901" ht="12.75" customHeight="1">
      <c r="A901" s="8"/>
      <c r="B901" s="74"/>
      <c r="C901" s="8"/>
      <c r="D901" s="14"/>
      <c r="E901" s="8"/>
      <c r="F901" s="8"/>
      <c r="G901" s="8"/>
      <c r="H901" s="8"/>
      <c r="I901" s="8"/>
      <c r="J901" s="14"/>
    </row>
    <row r="902" ht="12.75" customHeight="1">
      <c r="A902" s="8"/>
      <c r="B902" s="74"/>
      <c r="C902" s="8"/>
      <c r="D902" s="14"/>
      <c r="E902" s="8"/>
      <c r="F902" s="8"/>
      <c r="G902" s="8"/>
      <c r="H902" s="8"/>
      <c r="I902" s="8"/>
      <c r="J902" s="14"/>
    </row>
    <row r="903" ht="12.75" customHeight="1">
      <c r="A903" s="8"/>
      <c r="B903" s="74"/>
      <c r="C903" s="8"/>
      <c r="D903" s="14"/>
      <c r="E903" s="8"/>
      <c r="F903" s="8"/>
      <c r="G903" s="8"/>
      <c r="H903" s="8"/>
      <c r="I903" s="8"/>
      <c r="J903" s="14"/>
    </row>
    <row r="904" ht="12.75" customHeight="1">
      <c r="A904" s="8"/>
      <c r="B904" s="74"/>
      <c r="C904" s="8"/>
      <c r="D904" s="14"/>
      <c r="E904" s="8"/>
      <c r="F904" s="8"/>
      <c r="G904" s="8"/>
      <c r="H904" s="8"/>
      <c r="I904" s="8"/>
      <c r="J904" s="14"/>
    </row>
    <row r="905" ht="12.75" customHeight="1">
      <c r="A905" s="8"/>
      <c r="B905" s="74"/>
      <c r="C905" s="8"/>
      <c r="D905" s="14"/>
      <c r="E905" s="8"/>
      <c r="F905" s="8"/>
      <c r="G905" s="8"/>
      <c r="H905" s="8"/>
      <c r="I905" s="8"/>
      <c r="J905" s="14"/>
    </row>
    <row r="906" ht="12.75" customHeight="1">
      <c r="A906" s="8"/>
      <c r="B906" s="74"/>
      <c r="C906" s="8"/>
      <c r="D906" s="14"/>
      <c r="E906" s="8"/>
      <c r="F906" s="8"/>
      <c r="G906" s="8"/>
      <c r="H906" s="8"/>
      <c r="I906" s="8"/>
      <c r="J906" s="14"/>
    </row>
    <row r="907" ht="12.75" customHeight="1">
      <c r="A907" s="8"/>
      <c r="B907" s="74"/>
      <c r="C907" s="8"/>
      <c r="D907" s="14"/>
      <c r="E907" s="8"/>
      <c r="F907" s="8"/>
      <c r="G907" s="8"/>
      <c r="H907" s="8"/>
      <c r="I907" s="8"/>
      <c r="J907" s="14"/>
    </row>
    <row r="908" ht="12.75" customHeight="1">
      <c r="A908" s="8"/>
      <c r="B908" s="74"/>
      <c r="C908" s="8"/>
      <c r="D908" s="14"/>
      <c r="E908" s="8"/>
      <c r="F908" s="8"/>
      <c r="G908" s="8"/>
      <c r="H908" s="8"/>
      <c r="I908" s="8"/>
      <c r="J908" s="14"/>
    </row>
    <row r="909" ht="12.75" customHeight="1">
      <c r="A909" s="8"/>
      <c r="B909" s="74"/>
      <c r="C909" s="8"/>
      <c r="D909" s="14"/>
      <c r="E909" s="8"/>
      <c r="F909" s="8"/>
      <c r="G909" s="8"/>
      <c r="H909" s="8"/>
      <c r="I909" s="8"/>
      <c r="J909" s="14"/>
    </row>
    <row r="910" ht="12.75" customHeight="1">
      <c r="A910" s="8"/>
      <c r="B910" s="74"/>
      <c r="C910" s="8"/>
      <c r="D910" s="14"/>
      <c r="E910" s="8"/>
      <c r="F910" s="8"/>
      <c r="G910" s="8"/>
      <c r="H910" s="8"/>
      <c r="I910" s="8"/>
      <c r="J910" s="14"/>
    </row>
    <row r="911" ht="12.75" customHeight="1">
      <c r="A911" s="8"/>
      <c r="B911" s="74"/>
      <c r="C911" s="8"/>
      <c r="D911" s="14"/>
      <c r="E911" s="8"/>
      <c r="F911" s="8"/>
      <c r="G911" s="8"/>
      <c r="H911" s="8"/>
      <c r="I911" s="8"/>
      <c r="J911" s="14"/>
    </row>
    <row r="912" ht="12.75" customHeight="1">
      <c r="A912" s="8"/>
      <c r="B912" s="74"/>
      <c r="C912" s="8"/>
      <c r="D912" s="14"/>
      <c r="E912" s="8"/>
      <c r="F912" s="8"/>
      <c r="G912" s="8"/>
      <c r="H912" s="8"/>
      <c r="I912" s="8"/>
      <c r="J912" s="14"/>
    </row>
    <row r="913" ht="12.75" customHeight="1">
      <c r="A913" s="8"/>
      <c r="B913" s="74"/>
      <c r="C913" s="8"/>
      <c r="D913" s="14"/>
      <c r="E913" s="8"/>
      <c r="F913" s="8"/>
      <c r="G913" s="8"/>
      <c r="H913" s="8"/>
      <c r="I913" s="8"/>
      <c r="J913" s="14"/>
    </row>
    <row r="914" ht="12.75" customHeight="1">
      <c r="A914" s="8"/>
      <c r="B914" s="74"/>
      <c r="C914" s="8"/>
      <c r="D914" s="14"/>
      <c r="E914" s="8"/>
      <c r="F914" s="8"/>
      <c r="G914" s="8"/>
      <c r="H914" s="8"/>
      <c r="I914" s="8"/>
      <c r="J914" s="14"/>
    </row>
    <row r="915" ht="12.75" customHeight="1">
      <c r="A915" s="8"/>
      <c r="B915" s="74"/>
      <c r="C915" s="8"/>
      <c r="D915" s="14"/>
      <c r="E915" s="8"/>
      <c r="F915" s="8"/>
      <c r="G915" s="8"/>
      <c r="H915" s="8"/>
      <c r="I915" s="8"/>
      <c r="J915" s="14"/>
    </row>
    <row r="916" ht="12.75" customHeight="1">
      <c r="A916" s="8"/>
      <c r="B916" s="74"/>
      <c r="C916" s="8"/>
      <c r="D916" s="14"/>
      <c r="E916" s="8"/>
      <c r="F916" s="8"/>
      <c r="G916" s="8"/>
      <c r="H916" s="8"/>
      <c r="I916" s="8"/>
      <c r="J916" s="14"/>
    </row>
    <row r="917" ht="12.75" customHeight="1">
      <c r="A917" s="8"/>
      <c r="B917" s="74"/>
      <c r="C917" s="8"/>
      <c r="D917" s="14"/>
      <c r="E917" s="8"/>
      <c r="F917" s="8"/>
      <c r="G917" s="8"/>
      <c r="H917" s="8"/>
      <c r="I917" s="8"/>
      <c r="J917" s="14"/>
    </row>
    <row r="918" ht="12.75" customHeight="1">
      <c r="A918" s="8"/>
      <c r="B918" s="74"/>
      <c r="C918" s="8"/>
      <c r="D918" s="14"/>
      <c r="E918" s="8"/>
      <c r="F918" s="8"/>
      <c r="G918" s="8"/>
      <c r="H918" s="8"/>
      <c r="I918" s="8"/>
      <c r="J918" s="14"/>
    </row>
    <row r="919" ht="12.75" customHeight="1">
      <c r="A919" s="8"/>
      <c r="B919" s="74"/>
      <c r="C919" s="8"/>
      <c r="D919" s="14"/>
      <c r="E919" s="8"/>
      <c r="F919" s="8"/>
      <c r="G919" s="8"/>
      <c r="H919" s="8"/>
      <c r="I919" s="8"/>
      <c r="J919" s="14"/>
    </row>
    <row r="920" ht="12.75" customHeight="1">
      <c r="A920" s="8"/>
      <c r="B920" s="74"/>
      <c r="C920" s="8"/>
      <c r="D920" s="14"/>
      <c r="E920" s="8"/>
      <c r="F920" s="8"/>
      <c r="G920" s="8"/>
      <c r="H920" s="8"/>
      <c r="I920" s="8"/>
      <c r="J920" s="14"/>
    </row>
    <row r="921" ht="12.75" customHeight="1">
      <c r="A921" s="8"/>
      <c r="B921" s="74"/>
      <c r="C921" s="8"/>
      <c r="D921" s="14"/>
      <c r="E921" s="8"/>
      <c r="F921" s="8"/>
      <c r="G921" s="8"/>
      <c r="H921" s="8"/>
      <c r="I921" s="8"/>
      <c r="J921" s="14"/>
    </row>
    <row r="922" ht="12.75" customHeight="1">
      <c r="A922" s="8"/>
      <c r="B922" s="74"/>
      <c r="C922" s="8"/>
      <c r="D922" s="14"/>
      <c r="E922" s="8"/>
      <c r="F922" s="8"/>
      <c r="G922" s="8"/>
      <c r="H922" s="8"/>
      <c r="I922" s="8"/>
      <c r="J922" s="14"/>
    </row>
    <row r="923" ht="12.75" customHeight="1">
      <c r="A923" s="8"/>
      <c r="B923" s="74"/>
      <c r="C923" s="8"/>
      <c r="D923" s="14"/>
      <c r="E923" s="8"/>
      <c r="F923" s="8"/>
      <c r="G923" s="8"/>
      <c r="H923" s="8"/>
      <c r="I923" s="8"/>
      <c r="J923" s="14"/>
    </row>
    <row r="924" ht="12.75" customHeight="1">
      <c r="A924" s="8"/>
      <c r="B924" s="74"/>
      <c r="C924" s="8"/>
      <c r="D924" s="14"/>
      <c r="E924" s="8"/>
      <c r="F924" s="8"/>
      <c r="G924" s="8"/>
      <c r="H924" s="8"/>
      <c r="I924" s="8"/>
      <c r="J924" s="14"/>
    </row>
    <row r="925" ht="12.75" customHeight="1">
      <c r="A925" s="8"/>
      <c r="B925" s="74"/>
      <c r="C925" s="8"/>
      <c r="D925" s="14"/>
      <c r="E925" s="8"/>
      <c r="F925" s="8"/>
      <c r="G925" s="8"/>
      <c r="H925" s="8"/>
      <c r="I925" s="8"/>
      <c r="J925" s="14"/>
    </row>
    <row r="926" ht="12.75" customHeight="1">
      <c r="A926" s="8"/>
      <c r="B926" s="74"/>
      <c r="C926" s="8"/>
      <c r="D926" s="14"/>
      <c r="E926" s="8"/>
      <c r="F926" s="8"/>
      <c r="G926" s="8"/>
      <c r="H926" s="8"/>
      <c r="I926" s="8"/>
      <c r="J926" s="14"/>
    </row>
    <row r="927" ht="12.75" customHeight="1">
      <c r="A927" s="8"/>
      <c r="B927" s="74"/>
      <c r="C927" s="8"/>
      <c r="D927" s="14"/>
      <c r="E927" s="8"/>
      <c r="F927" s="8"/>
      <c r="G927" s="8"/>
      <c r="H927" s="8"/>
      <c r="I927" s="8"/>
      <c r="J927" s="14"/>
    </row>
    <row r="928" ht="12.75" customHeight="1">
      <c r="A928" s="8"/>
      <c r="B928" s="74"/>
      <c r="C928" s="8"/>
      <c r="D928" s="14"/>
      <c r="E928" s="8"/>
      <c r="F928" s="8"/>
      <c r="G928" s="8"/>
      <c r="H928" s="8"/>
      <c r="I928" s="8"/>
      <c r="J928" s="14"/>
    </row>
    <row r="929" ht="12.75" customHeight="1">
      <c r="A929" s="8"/>
      <c r="B929" s="74"/>
      <c r="C929" s="8"/>
      <c r="D929" s="14"/>
      <c r="E929" s="8"/>
      <c r="F929" s="8"/>
      <c r="G929" s="8"/>
      <c r="H929" s="8"/>
      <c r="I929" s="8"/>
      <c r="J929" s="14"/>
    </row>
    <row r="930" ht="12.75" customHeight="1">
      <c r="A930" s="8"/>
      <c r="B930" s="74"/>
      <c r="C930" s="8"/>
      <c r="D930" s="14"/>
      <c r="E930" s="8"/>
      <c r="F930" s="8"/>
      <c r="G930" s="8"/>
      <c r="H930" s="8"/>
      <c r="I930" s="8"/>
      <c r="J930" s="14"/>
    </row>
    <row r="931" ht="12.75" customHeight="1">
      <c r="A931" s="8"/>
      <c r="B931" s="74"/>
      <c r="C931" s="8"/>
      <c r="D931" s="14"/>
      <c r="E931" s="8"/>
      <c r="F931" s="8"/>
      <c r="G931" s="8"/>
      <c r="H931" s="8"/>
      <c r="I931" s="8"/>
      <c r="J931" s="14"/>
    </row>
    <row r="932" ht="12.75" customHeight="1">
      <c r="A932" s="8"/>
      <c r="B932" s="74"/>
      <c r="C932" s="8"/>
      <c r="D932" s="14"/>
      <c r="E932" s="8"/>
      <c r="F932" s="8"/>
      <c r="G932" s="8"/>
      <c r="H932" s="8"/>
      <c r="I932" s="8"/>
      <c r="J932" s="14"/>
    </row>
    <row r="933" ht="12.75" customHeight="1">
      <c r="A933" s="8"/>
      <c r="B933" s="74"/>
      <c r="C933" s="8"/>
      <c r="D933" s="14"/>
      <c r="E933" s="8"/>
      <c r="F933" s="8"/>
      <c r="G933" s="8"/>
      <c r="H933" s="8"/>
      <c r="I933" s="8"/>
      <c r="J933" s="14"/>
    </row>
    <row r="934" ht="12.75" customHeight="1">
      <c r="A934" s="8"/>
      <c r="B934" s="74"/>
      <c r="C934" s="8"/>
      <c r="D934" s="14"/>
      <c r="E934" s="8"/>
      <c r="F934" s="8"/>
      <c r="G934" s="8"/>
      <c r="H934" s="8"/>
      <c r="I934" s="8"/>
      <c r="J934" s="14"/>
    </row>
    <row r="935" ht="12.75" customHeight="1">
      <c r="A935" s="8"/>
      <c r="B935" s="74"/>
      <c r="C935" s="8"/>
      <c r="D935" s="14"/>
      <c r="E935" s="8"/>
      <c r="F935" s="8"/>
      <c r="G935" s="8"/>
      <c r="H935" s="8"/>
      <c r="I935" s="8"/>
      <c r="J935" s="14"/>
    </row>
    <row r="936" ht="12.75" customHeight="1">
      <c r="A936" s="8"/>
      <c r="B936" s="74"/>
      <c r="C936" s="8"/>
      <c r="D936" s="14"/>
      <c r="E936" s="8"/>
      <c r="F936" s="8"/>
      <c r="G936" s="8"/>
      <c r="H936" s="8"/>
      <c r="I936" s="8"/>
      <c r="J936" s="14"/>
    </row>
    <row r="937" ht="12.75" customHeight="1">
      <c r="A937" s="8"/>
      <c r="B937" s="74"/>
      <c r="C937" s="8"/>
      <c r="D937" s="14"/>
      <c r="E937" s="8"/>
      <c r="F937" s="8"/>
      <c r="G937" s="8"/>
      <c r="H937" s="8"/>
      <c r="I937" s="8"/>
      <c r="J937" s="14"/>
    </row>
    <row r="938" ht="12.75" customHeight="1">
      <c r="A938" s="8"/>
      <c r="B938" s="74"/>
      <c r="C938" s="8"/>
      <c r="D938" s="14"/>
      <c r="E938" s="8"/>
      <c r="F938" s="8"/>
      <c r="G938" s="8"/>
      <c r="H938" s="8"/>
      <c r="I938" s="8"/>
      <c r="J938" s="14"/>
    </row>
    <row r="939" ht="12.75" customHeight="1">
      <c r="A939" s="8"/>
      <c r="B939" s="74"/>
      <c r="C939" s="8"/>
      <c r="D939" s="14"/>
      <c r="E939" s="8"/>
      <c r="F939" s="8"/>
      <c r="G939" s="8"/>
      <c r="H939" s="8"/>
      <c r="I939" s="8"/>
      <c r="J939" s="14"/>
    </row>
    <row r="940" ht="12.75" customHeight="1">
      <c r="A940" s="8"/>
      <c r="B940" s="74"/>
      <c r="C940" s="8"/>
      <c r="D940" s="14"/>
      <c r="E940" s="8"/>
      <c r="F940" s="8"/>
      <c r="G940" s="8"/>
      <c r="H940" s="8"/>
      <c r="I940" s="8"/>
      <c r="J940" s="14"/>
    </row>
    <row r="941" ht="12.75" customHeight="1">
      <c r="A941" s="8"/>
      <c r="B941" s="74"/>
      <c r="C941" s="8"/>
      <c r="D941" s="14"/>
      <c r="E941" s="8"/>
      <c r="F941" s="8"/>
      <c r="G941" s="8"/>
      <c r="H941" s="8"/>
      <c r="I941" s="8"/>
      <c r="J941" s="14"/>
    </row>
    <row r="942" ht="12.75" customHeight="1">
      <c r="A942" s="8"/>
      <c r="B942" s="74"/>
      <c r="C942" s="8"/>
      <c r="D942" s="14"/>
      <c r="E942" s="8"/>
      <c r="F942" s="8"/>
      <c r="G942" s="8"/>
      <c r="H942" s="8"/>
      <c r="I942" s="8"/>
      <c r="J942" s="14"/>
    </row>
    <row r="943" ht="12.75" customHeight="1">
      <c r="A943" s="8"/>
      <c r="B943" s="74"/>
      <c r="C943" s="8"/>
      <c r="D943" s="14"/>
      <c r="E943" s="8"/>
      <c r="F943" s="8"/>
      <c r="G943" s="8"/>
      <c r="H943" s="8"/>
      <c r="I943" s="8"/>
      <c r="J943" s="14"/>
    </row>
    <row r="944" ht="12.75" customHeight="1">
      <c r="A944" s="8"/>
      <c r="B944" s="74"/>
      <c r="C944" s="8"/>
      <c r="D944" s="14"/>
      <c r="E944" s="8"/>
      <c r="F944" s="8"/>
      <c r="G944" s="8"/>
      <c r="H944" s="8"/>
      <c r="I944" s="8"/>
      <c r="J944" s="14"/>
    </row>
    <row r="945" ht="12.75" customHeight="1">
      <c r="A945" s="8"/>
      <c r="B945" s="74"/>
      <c r="C945" s="8"/>
      <c r="D945" s="14"/>
      <c r="E945" s="8"/>
      <c r="F945" s="8"/>
      <c r="G945" s="8"/>
      <c r="H945" s="8"/>
      <c r="I945" s="8"/>
      <c r="J945" s="14"/>
    </row>
    <row r="946" ht="12.75" customHeight="1">
      <c r="A946" s="8"/>
      <c r="B946" s="74"/>
      <c r="C946" s="8"/>
      <c r="D946" s="14"/>
      <c r="E946" s="8"/>
      <c r="F946" s="8"/>
      <c r="G946" s="8"/>
      <c r="H946" s="8"/>
      <c r="I946" s="8"/>
      <c r="J946" s="14"/>
    </row>
    <row r="947" ht="12.75" customHeight="1">
      <c r="A947" s="8"/>
      <c r="B947" s="74"/>
      <c r="C947" s="8"/>
      <c r="D947" s="14"/>
      <c r="E947" s="8"/>
      <c r="F947" s="8"/>
      <c r="G947" s="8"/>
      <c r="H947" s="8"/>
      <c r="I947" s="8"/>
      <c r="J947" s="14"/>
    </row>
    <row r="948" ht="12.75" customHeight="1">
      <c r="A948" s="8"/>
      <c r="B948" s="74"/>
      <c r="C948" s="8"/>
      <c r="D948" s="14"/>
      <c r="E948" s="8"/>
      <c r="F948" s="8"/>
      <c r="G948" s="8"/>
      <c r="H948" s="8"/>
      <c r="I948" s="8"/>
      <c r="J948" s="14"/>
    </row>
    <row r="949" ht="12.75" customHeight="1">
      <c r="A949" s="8"/>
      <c r="B949" s="74"/>
      <c r="C949" s="8"/>
      <c r="D949" s="14"/>
      <c r="E949" s="8"/>
      <c r="F949" s="8"/>
      <c r="G949" s="8"/>
      <c r="H949" s="8"/>
      <c r="I949" s="8"/>
      <c r="J949" s="14"/>
    </row>
    <row r="950" ht="12.75" customHeight="1">
      <c r="A950" s="8"/>
      <c r="B950" s="74"/>
      <c r="C950" s="8"/>
      <c r="D950" s="14"/>
      <c r="E950" s="8"/>
      <c r="F950" s="8"/>
      <c r="G950" s="8"/>
      <c r="H950" s="8"/>
      <c r="I950" s="8"/>
      <c r="J950" s="14"/>
    </row>
    <row r="951" ht="12.75" customHeight="1">
      <c r="A951" s="8"/>
      <c r="B951" s="74"/>
      <c r="C951" s="8"/>
      <c r="D951" s="14"/>
      <c r="E951" s="8"/>
      <c r="F951" s="8"/>
      <c r="G951" s="8"/>
      <c r="H951" s="8"/>
      <c r="I951" s="8"/>
      <c r="J951" s="14"/>
    </row>
    <row r="952" ht="12.75" customHeight="1">
      <c r="A952" s="8"/>
      <c r="B952" s="74"/>
      <c r="C952" s="8"/>
      <c r="D952" s="14"/>
      <c r="E952" s="8"/>
      <c r="F952" s="8"/>
      <c r="G952" s="8"/>
      <c r="H952" s="8"/>
      <c r="I952" s="8"/>
      <c r="J952" s="14"/>
    </row>
    <row r="953" ht="12.75" customHeight="1">
      <c r="A953" s="8"/>
      <c r="B953" s="74"/>
      <c r="C953" s="8"/>
      <c r="D953" s="14"/>
      <c r="E953" s="8"/>
      <c r="F953" s="8"/>
      <c r="G953" s="8"/>
      <c r="H953" s="8"/>
      <c r="I953" s="8"/>
      <c r="J953" s="14"/>
    </row>
    <row r="954" ht="12.75" customHeight="1">
      <c r="A954" s="8"/>
      <c r="B954" s="74"/>
      <c r="C954" s="8"/>
      <c r="D954" s="14"/>
      <c r="E954" s="8"/>
      <c r="F954" s="8"/>
      <c r="G954" s="8"/>
      <c r="H954" s="8"/>
      <c r="I954" s="8"/>
      <c r="J954" s="14"/>
    </row>
    <row r="955" ht="12.75" customHeight="1">
      <c r="A955" s="8"/>
      <c r="B955" s="74"/>
      <c r="C955" s="8"/>
      <c r="D955" s="14"/>
      <c r="E955" s="8"/>
      <c r="F955" s="8"/>
      <c r="G955" s="8"/>
      <c r="H955" s="8"/>
      <c r="I955" s="8"/>
      <c r="J955" s="14"/>
    </row>
    <row r="956" ht="12.75" customHeight="1">
      <c r="A956" s="8"/>
      <c r="B956" s="74"/>
      <c r="C956" s="8"/>
      <c r="D956" s="14"/>
      <c r="E956" s="8"/>
      <c r="F956" s="8"/>
      <c r="G956" s="8"/>
      <c r="H956" s="8"/>
      <c r="I956" s="8"/>
      <c r="J956" s="14"/>
    </row>
    <row r="957" ht="12.75" customHeight="1">
      <c r="A957" s="8"/>
      <c r="B957" s="74"/>
      <c r="C957" s="8"/>
      <c r="D957" s="14"/>
      <c r="E957" s="8"/>
      <c r="F957" s="8"/>
      <c r="G957" s="8"/>
      <c r="H957" s="8"/>
      <c r="I957" s="8"/>
      <c r="J957" s="14"/>
    </row>
    <row r="958" ht="12.75" customHeight="1">
      <c r="A958" s="8"/>
      <c r="B958" s="74"/>
      <c r="C958" s="8"/>
      <c r="D958" s="14"/>
      <c r="E958" s="8"/>
      <c r="F958" s="8"/>
      <c r="G958" s="8"/>
      <c r="H958" s="8"/>
      <c r="I958" s="8"/>
      <c r="J958" s="14"/>
    </row>
    <row r="959" ht="12.75" customHeight="1">
      <c r="A959" s="8"/>
      <c r="B959" s="74"/>
      <c r="C959" s="8"/>
      <c r="D959" s="14"/>
      <c r="E959" s="8"/>
      <c r="F959" s="8"/>
      <c r="G959" s="8"/>
      <c r="H959" s="8"/>
      <c r="I959" s="8"/>
      <c r="J959" s="14"/>
    </row>
    <row r="960" ht="12.75" customHeight="1">
      <c r="A960" s="8"/>
      <c r="B960" s="74"/>
      <c r="C960" s="8"/>
      <c r="D960" s="14"/>
      <c r="E960" s="8"/>
      <c r="F960" s="8"/>
      <c r="G960" s="8"/>
      <c r="H960" s="8"/>
      <c r="I960" s="8"/>
      <c r="J960" s="14"/>
    </row>
    <row r="961" ht="12.75" customHeight="1">
      <c r="A961" s="8"/>
      <c r="B961" s="74"/>
      <c r="C961" s="8"/>
      <c r="D961" s="14"/>
      <c r="E961" s="8"/>
      <c r="F961" s="8"/>
      <c r="G961" s="8"/>
      <c r="H961" s="8"/>
      <c r="I961" s="8"/>
      <c r="J961" s="14"/>
    </row>
    <row r="962" ht="12.75" customHeight="1">
      <c r="A962" s="8"/>
      <c r="B962" s="74"/>
      <c r="C962" s="8"/>
      <c r="D962" s="14"/>
      <c r="E962" s="8"/>
      <c r="F962" s="8"/>
      <c r="G962" s="8"/>
      <c r="H962" s="8"/>
      <c r="I962" s="8"/>
      <c r="J962" s="14"/>
    </row>
    <row r="963" ht="12.75" customHeight="1">
      <c r="A963" s="8"/>
      <c r="B963" s="74"/>
      <c r="C963" s="8"/>
      <c r="D963" s="14"/>
      <c r="E963" s="8"/>
      <c r="F963" s="8"/>
      <c r="G963" s="8"/>
      <c r="H963" s="8"/>
      <c r="I963" s="8"/>
      <c r="J963" s="14"/>
    </row>
    <row r="964" ht="12.75" customHeight="1">
      <c r="A964" s="8"/>
      <c r="B964" s="74"/>
      <c r="C964" s="8"/>
      <c r="D964" s="14"/>
      <c r="E964" s="8"/>
      <c r="F964" s="8"/>
      <c r="G964" s="8"/>
      <c r="H964" s="8"/>
      <c r="I964" s="8"/>
      <c r="J964" s="14"/>
    </row>
    <row r="965" ht="12.75" customHeight="1">
      <c r="A965" s="8"/>
      <c r="B965" s="74"/>
      <c r="C965" s="8"/>
      <c r="D965" s="14"/>
      <c r="E965" s="8"/>
      <c r="F965" s="8"/>
      <c r="G965" s="8"/>
      <c r="H965" s="8"/>
      <c r="I965" s="8"/>
      <c r="J965" s="14"/>
    </row>
    <row r="966" ht="12.75" customHeight="1">
      <c r="A966" s="8"/>
      <c r="B966" s="74"/>
      <c r="C966" s="8"/>
      <c r="D966" s="14"/>
      <c r="E966" s="8"/>
      <c r="F966" s="8"/>
      <c r="G966" s="8"/>
      <c r="H966" s="8"/>
      <c r="I966" s="8"/>
      <c r="J966" s="14"/>
    </row>
    <row r="967" ht="12.75" customHeight="1">
      <c r="A967" s="8"/>
      <c r="B967" s="74"/>
      <c r="C967" s="8"/>
      <c r="D967" s="14"/>
      <c r="E967" s="8"/>
      <c r="F967" s="8"/>
      <c r="G967" s="8"/>
      <c r="H967" s="8"/>
      <c r="I967" s="8"/>
      <c r="J967" s="14"/>
    </row>
    <row r="968" ht="12.75" customHeight="1">
      <c r="A968" s="8"/>
      <c r="B968" s="74"/>
      <c r="C968" s="8"/>
      <c r="D968" s="14"/>
      <c r="E968" s="8"/>
      <c r="F968" s="8"/>
      <c r="G968" s="8"/>
      <c r="H968" s="8"/>
      <c r="I968" s="8"/>
      <c r="J968" s="14"/>
    </row>
    <row r="969" ht="12.75" customHeight="1">
      <c r="A969" s="8"/>
      <c r="B969" s="74"/>
      <c r="C969" s="8"/>
      <c r="D969" s="14"/>
      <c r="E969" s="8"/>
      <c r="F969" s="8"/>
      <c r="G969" s="8"/>
      <c r="H969" s="8"/>
      <c r="I969" s="8"/>
      <c r="J969" s="14"/>
    </row>
    <row r="970" ht="12.75" customHeight="1">
      <c r="A970" s="8"/>
      <c r="B970" s="74"/>
      <c r="C970" s="8"/>
      <c r="D970" s="14"/>
      <c r="E970" s="8"/>
      <c r="F970" s="8"/>
      <c r="G970" s="8"/>
      <c r="H970" s="8"/>
      <c r="I970" s="8"/>
      <c r="J970" s="14"/>
    </row>
    <row r="971" ht="12.75" customHeight="1">
      <c r="A971" s="8"/>
      <c r="B971" s="74"/>
      <c r="C971" s="8"/>
      <c r="D971" s="14"/>
      <c r="E971" s="8"/>
      <c r="F971" s="8"/>
      <c r="G971" s="8"/>
      <c r="H971" s="8"/>
      <c r="I971" s="8"/>
      <c r="J971" s="14"/>
    </row>
    <row r="972" ht="12.75" customHeight="1">
      <c r="A972" s="8"/>
      <c r="B972" s="74"/>
      <c r="C972" s="8"/>
      <c r="D972" s="14"/>
      <c r="E972" s="8"/>
      <c r="F972" s="8"/>
      <c r="G972" s="8"/>
      <c r="H972" s="8"/>
      <c r="I972" s="8"/>
      <c r="J972" s="14"/>
    </row>
    <row r="973" ht="12.75" customHeight="1">
      <c r="A973" s="8"/>
      <c r="B973" s="74"/>
      <c r="C973" s="8"/>
      <c r="D973" s="14"/>
      <c r="E973" s="8"/>
      <c r="F973" s="8"/>
      <c r="G973" s="8"/>
      <c r="H973" s="8"/>
      <c r="I973" s="8"/>
      <c r="J973" s="14"/>
    </row>
    <row r="974" ht="12.75" customHeight="1">
      <c r="A974" s="8"/>
      <c r="B974" s="74"/>
      <c r="C974" s="8"/>
      <c r="D974" s="14"/>
      <c r="E974" s="8"/>
      <c r="F974" s="8"/>
      <c r="G974" s="8"/>
      <c r="H974" s="8"/>
      <c r="I974" s="8"/>
      <c r="J974" s="14"/>
    </row>
    <row r="975" ht="12.75" customHeight="1">
      <c r="A975" s="8"/>
      <c r="B975" s="74"/>
      <c r="C975" s="8"/>
      <c r="D975" s="14"/>
      <c r="E975" s="8"/>
      <c r="F975" s="8"/>
      <c r="G975" s="8"/>
      <c r="H975" s="8"/>
      <c r="I975" s="8"/>
      <c r="J975" s="14"/>
    </row>
    <row r="976" ht="12.75" customHeight="1">
      <c r="A976" s="8"/>
      <c r="B976" s="74"/>
      <c r="C976" s="8"/>
      <c r="D976" s="14"/>
      <c r="E976" s="8"/>
      <c r="F976" s="8"/>
      <c r="G976" s="8"/>
      <c r="H976" s="8"/>
      <c r="I976" s="8"/>
      <c r="J976" s="14"/>
    </row>
    <row r="977" ht="12.75" customHeight="1">
      <c r="A977" s="8"/>
      <c r="B977" s="74"/>
      <c r="C977" s="8"/>
      <c r="D977" s="14"/>
      <c r="E977" s="8"/>
      <c r="F977" s="8"/>
      <c r="G977" s="8"/>
      <c r="H977" s="8"/>
      <c r="I977" s="8"/>
      <c r="J977" s="14"/>
    </row>
    <row r="978" ht="12.75" customHeight="1">
      <c r="A978" s="8"/>
      <c r="B978" s="74"/>
      <c r="C978" s="8"/>
      <c r="D978" s="14"/>
      <c r="E978" s="8"/>
      <c r="F978" s="8"/>
      <c r="G978" s="8"/>
      <c r="H978" s="8"/>
      <c r="I978" s="8"/>
      <c r="J978" s="14"/>
    </row>
    <row r="979" ht="12.75" customHeight="1">
      <c r="A979" s="8"/>
      <c r="B979" s="74"/>
      <c r="C979" s="8"/>
      <c r="D979" s="14"/>
      <c r="E979" s="8"/>
      <c r="F979" s="8"/>
      <c r="G979" s="8"/>
      <c r="H979" s="8"/>
      <c r="I979" s="8"/>
      <c r="J979" s="14"/>
    </row>
    <row r="980" ht="12.75" customHeight="1">
      <c r="A980" s="8"/>
      <c r="B980" s="74"/>
      <c r="C980" s="8"/>
      <c r="D980" s="14"/>
      <c r="E980" s="8"/>
      <c r="F980" s="8"/>
      <c r="G980" s="8"/>
      <c r="H980" s="8"/>
      <c r="I980" s="8"/>
      <c r="J980" s="14"/>
    </row>
    <row r="981" ht="12.75" customHeight="1">
      <c r="A981" s="8"/>
      <c r="B981" s="74"/>
      <c r="C981" s="8"/>
      <c r="D981" s="14"/>
      <c r="E981" s="8"/>
      <c r="F981" s="8"/>
      <c r="G981" s="8"/>
      <c r="H981" s="8"/>
      <c r="I981" s="8"/>
      <c r="J981" s="14"/>
    </row>
    <row r="982" ht="12.75" customHeight="1">
      <c r="A982" s="8"/>
      <c r="B982" s="74"/>
      <c r="C982" s="8"/>
      <c r="D982" s="14"/>
      <c r="E982" s="8"/>
      <c r="F982" s="8"/>
      <c r="G982" s="8"/>
      <c r="H982" s="8"/>
      <c r="I982" s="8"/>
      <c r="J982" s="14"/>
    </row>
    <row r="983" ht="12.75" customHeight="1">
      <c r="A983" s="8"/>
      <c r="B983" s="74"/>
      <c r="C983" s="8"/>
      <c r="D983" s="14"/>
      <c r="E983" s="8"/>
      <c r="F983" s="8"/>
      <c r="G983" s="8"/>
      <c r="H983" s="8"/>
      <c r="I983" s="8"/>
      <c r="J983" s="14"/>
    </row>
    <row r="984" ht="12.75" customHeight="1">
      <c r="A984" s="8"/>
      <c r="B984" s="74"/>
      <c r="C984" s="8"/>
      <c r="D984" s="14"/>
      <c r="E984" s="8"/>
      <c r="F984" s="8"/>
      <c r="G984" s="8"/>
      <c r="H984" s="8"/>
      <c r="I984" s="8"/>
      <c r="J984" s="14"/>
    </row>
    <row r="985" ht="12.75" customHeight="1">
      <c r="A985" s="8"/>
      <c r="B985" s="74"/>
      <c r="C985" s="8"/>
      <c r="D985" s="14"/>
      <c r="E985" s="8"/>
      <c r="F985" s="8"/>
      <c r="G985" s="8"/>
      <c r="H985" s="8"/>
      <c r="I985" s="8"/>
      <c r="J985" s="14"/>
    </row>
    <row r="986" ht="12.75" customHeight="1">
      <c r="A986" s="8"/>
      <c r="B986" s="74"/>
      <c r="C986" s="8"/>
      <c r="D986" s="14"/>
      <c r="E986" s="8"/>
      <c r="F986" s="8"/>
      <c r="G986" s="8"/>
      <c r="H986" s="8"/>
      <c r="I986" s="8"/>
      <c r="J986" s="14"/>
    </row>
    <row r="987" ht="12.75" customHeight="1">
      <c r="A987" s="8"/>
      <c r="B987" s="74"/>
      <c r="C987" s="8"/>
      <c r="D987" s="14"/>
      <c r="E987" s="8"/>
      <c r="F987" s="8"/>
      <c r="G987" s="8"/>
      <c r="H987" s="8"/>
      <c r="I987" s="8"/>
      <c r="J987" s="14"/>
    </row>
    <row r="988" ht="12.75" customHeight="1">
      <c r="A988" s="8"/>
      <c r="B988" s="74"/>
      <c r="C988" s="8"/>
      <c r="D988" s="14"/>
      <c r="E988" s="8"/>
      <c r="F988" s="8"/>
      <c r="G988" s="8"/>
      <c r="H988" s="8"/>
      <c r="I988" s="8"/>
      <c r="J988" s="14"/>
    </row>
    <row r="989" ht="12.75" customHeight="1">
      <c r="A989" s="8"/>
      <c r="B989" s="74"/>
      <c r="C989" s="8"/>
      <c r="D989" s="14"/>
      <c r="E989" s="8"/>
      <c r="F989" s="8"/>
      <c r="G989" s="8"/>
      <c r="H989" s="8"/>
      <c r="I989" s="8"/>
      <c r="J989" s="14"/>
    </row>
    <row r="990" ht="12.75" customHeight="1">
      <c r="A990" s="8"/>
      <c r="B990" s="74"/>
      <c r="C990" s="8"/>
      <c r="D990" s="14"/>
      <c r="E990" s="8"/>
      <c r="F990" s="8"/>
      <c r="G990" s="8"/>
      <c r="H990" s="8"/>
      <c r="I990" s="8"/>
      <c r="J990" s="14"/>
    </row>
    <row r="991" ht="12.75" customHeight="1">
      <c r="A991" s="8"/>
      <c r="B991" s="74"/>
      <c r="C991" s="8"/>
      <c r="D991" s="14"/>
      <c r="E991" s="8"/>
      <c r="F991" s="8"/>
      <c r="G991" s="8"/>
      <c r="H991" s="8"/>
      <c r="I991" s="8"/>
      <c r="J991" s="14"/>
    </row>
    <row r="992" ht="12.75" customHeight="1">
      <c r="A992" s="8"/>
      <c r="B992" s="74"/>
      <c r="C992" s="8"/>
      <c r="D992" s="14"/>
      <c r="E992" s="8"/>
      <c r="F992" s="8"/>
      <c r="G992" s="8"/>
      <c r="H992" s="8"/>
      <c r="I992" s="8"/>
      <c r="J992" s="14"/>
    </row>
    <row r="993" ht="12.75" customHeight="1">
      <c r="A993" s="8"/>
      <c r="B993" s="74"/>
      <c r="C993" s="8"/>
      <c r="D993" s="14"/>
      <c r="E993" s="8"/>
      <c r="F993" s="8"/>
      <c r="G993" s="8"/>
      <c r="H993" s="8"/>
      <c r="I993" s="8"/>
      <c r="J993" s="14"/>
    </row>
    <row r="994" ht="12.75" customHeight="1">
      <c r="A994" s="8"/>
      <c r="B994" s="74"/>
      <c r="C994" s="8"/>
      <c r="D994" s="14"/>
      <c r="E994" s="8"/>
      <c r="F994" s="8"/>
      <c r="G994" s="8"/>
      <c r="H994" s="8"/>
      <c r="I994" s="8"/>
      <c r="J994" s="14"/>
    </row>
    <row r="995" ht="12.75" customHeight="1">
      <c r="A995" s="8"/>
      <c r="B995" s="74"/>
      <c r="C995" s="8"/>
      <c r="D995" s="14"/>
      <c r="E995" s="8"/>
      <c r="F995" s="8"/>
      <c r="G995" s="8"/>
      <c r="H995" s="8"/>
      <c r="I995" s="8"/>
      <c r="J995" s="14"/>
    </row>
    <row r="996" ht="12.75" customHeight="1">
      <c r="A996" s="8"/>
      <c r="B996" s="74"/>
      <c r="C996" s="8"/>
      <c r="D996" s="14"/>
      <c r="E996" s="8"/>
      <c r="F996" s="8"/>
      <c r="G996" s="8"/>
      <c r="H996" s="8"/>
      <c r="I996" s="8"/>
      <c r="J996" s="14"/>
    </row>
    <row r="997" ht="12.75" customHeight="1">
      <c r="A997" s="8"/>
      <c r="B997" s="74"/>
      <c r="C997" s="8"/>
      <c r="D997" s="14"/>
      <c r="E997" s="8"/>
      <c r="F997" s="8"/>
      <c r="G997" s="8"/>
      <c r="H997" s="8"/>
      <c r="I997" s="8"/>
      <c r="J997" s="14"/>
    </row>
    <row r="998" ht="12.75" customHeight="1">
      <c r="A998" s="8"/>
      <c r="B998" s="74"/>
      <c r="C998" s="8"/>
      <c r="D998" s="14"/>
      <c r="E998" s="8"/>
      <c r="F998" s="8"/>
      <c r="G998" s="8"/>
      <c r="H998" s="8"/>
      <c r="I998" s="8"/>
      <c r="J998" s="14"/>
    </row>
    <row r="999" ht="12.75" customHeight="1">
      <c r="A999" s="8"/>
      <c r="B999" s="74"/>
      <c r="C999" s="8"/>
      <c r="D999" s="14"/>
      <c r="E999" s="8"/>
      <c r="F999" s="8"/>
      <c r="G999" s="8"/>
      <c r="H999" s="8"/>
      <c r="I999" s="8"/>
      <c r="J999" s="14"/>
    </row>
    <row r="1000" ht="12.75" customHeight="1">
      <c r="A1000" s="8"/>
      <c r="B1000" s="74"/>
      <c r="C1000" s="8"/>
      <c r="D1000" s="14"/>
      <c r="E1000" s="8"/>
      <c r="F1000" s="8"/>
      <c r="G1000" s="8"/>
      <c r="H1000" s="8"/>
      <c r="I1000" s="8"/>
      <c r="J1000" s="14"/>
    </row>
  </sheetData>
  <printOptions/>
  <pageMargins bottom="0.7875" footer="0.0" header="0.0" left="0.7875" right="0.7875" top="0.78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32" width="7.75"/>
  </cols>
  <sheetData>
    <row r="1" ht="12.75" customHeight="1">
      <c r="A1" s="1" t="s">
        <v>0</v>
      </c>
      <c r="B1" s="2" t="s">
        <v>1</v>
      </c>
      <c r="C1" s="3"/>
      <c r="D1" s="3"/>
      <c r="E1" s="3"/>
      <c r="F1" s="3"/>
      <c r="G1" s="4"/>
      <c r="H1" s="5" t="s">
        <v>2</v>
      </c>
      <c r="I1" s="6"/>
      <c r="J1" s="6"/>
      <c r="K1" s="6"/>
      <c r="L1" s="6"/>
      <c r="M1" s="6"/>
      <c r="N1" s="6"/>
      <c r="O1" s="6"/>
      <c r="P1" s="6"/>
      <c r="Q1" s="6"/>
      <c r="R1" s="6"/>
      <c r="S1" s="6"/>
      <c r="T1" s="6"/>
      <c r="U1" s="6"/>
      <c r="V1" s="4"/>
      <c r="W1" s="4"/>
      <c r="X1" s="4"/>
      <c r="Y1" s="4"/>
      <c r="Z1" s="4"/>
      <c r="AA1" s="4"/>
      <c r="AB1" s="4"/>
      <c r="AC1" s="4"/>
      <c r="AD1" s="4"/>
      <c r="AE1" s="4"/>
      <c r="AF1" s="4"/>
    </row>
    <row r="2" ht="12.75" customHeight="1">
      <c r="A2" s="7">
        <v>1.0</v>
      </c>
      <c r="B2" s="8">
        <v>250.0</v>
      </c>
      <c r="C2" s="8">
        <v>512.0</v>
      </c>
      <c r="D2" s="8">
        <v>787.0</v>
      </c>
      <c r="E2" s="8">
        <v>1076.0</v>
      </c>
      <c r="F2" s="8">
        <v>1379.0</v>
      </c>
      <c r="G2" s="8"/>
      <c r="H2" s="5" t="s">
        <v>3</v>
      </c>
      <c r="I2" s="6"/>
      <c r="J2" s="6"/>
      <c r="K2" s="6"/>
      <c r="L2" s="6"/>
      <c r="M2" s="6"/>
      <c r="N2" s="6"/>
      <c r="O2" s="6"/>
      <c r="P2" s="6"/>
      <c r="Q2" s="6"/>
      <c r="R2" s="6"/>
      <c r="S2" s="6"/>
      <c r="T2" s="6"/>
      <c r="U2" s="6"/>
      <c r="V2" s="8"/>
      <c r="W2" s="8"/>
      <c r="X2" s="8"/>
      <c r="Y2" s="8"/>
      <c r="Z2" s="8"/>
      <c r="AA2" s="8"/>
      <c r="AB2" s="8"/>
      <c r="AC2" s="8"/>
      <c r="AD2" s="8"/>
      <c r="AE2" s="8"/>
      <c r="AF2" s="8"/>
    </row>
    <row r="3" ht="12.75" customHeight="1">
      <c r="A3" s="7">
        <v>2.0</v>
      </c>
      <c r="B3" s="8">
        <v>270.0</v>
      </c>
      <c r="C3" s="8">
        <v>553.0</v>
      </c>
      <c r="D3" s="8">
        <v>850.0</v>
      </c>
      <c r="E3" s="8">
        <v>1162.0</v>
      </c>
      <c r="F3" s="8">
        <v>1490.0</v>
      </c>
      <c r="G3" s="8"/>
      <c r="H3" s="5" t="s">
        <v>4</v>
      </c>
      <c r="I3" s="6"/>
      <c r="J3" s="6"/>
      <c r="K3" s="6"/>
      <c r="L3" s="6"/>
      <c r="M3" s="6"/>
      <c r="N3" s="6"/>
      <c r="O3" s="6"/>
      <c r="P3" s="6"/>
      <c r="Q3" s="6"/>
      <c r="R3" s="6"/>
      <c r="S3" s="6"/>
      <c r="T3" s="6"/>
      <c r="U3" s="6"/>
      <c r="V3" s="8"/>
      <c r="W3" s="8"/>
      <c r="X3" s="8"/>
      <c r="Y3" s="8"/>
      <c r="Z3" s="8"/>
      <c r="AA3" s="8"/>
      <c r="AB3" s="8"/>
      <c r="AC3" s="8"/>
      <c r="AD3" s="8"/>
      <c r="AE3" s="8"/>
      <c r="AF3" s="8"/>
    </row>
    <row r="4" ht="12.75" customHeight="1">
      <c r="A4" s="7">
        <v>3.0</v>
      </c>
      <c r="B4" s="8">
        <v>291.0</v>
      </c>
      <c r="C4" s="8">
        <v>596.0</v>
      </c>
      <c r="D4" s="8">
        <v>916.0</v>
      </c>
      <c r="E4" s="8">
        <v>1252.0</v>
      </c>
      <c r="F4" s="8">
        <v>1605.0</v>
      </c>
      <c r="G4" s="8"/>
      <c r="H4" s="5" t="s">
        <v>5</v>
      </c>
      <c r="I4" s="6"/>
      <c r="J4" s="6"/>
      <c r="K4" s="6"/>
      <c r="L4" s="6"/>
      <c r="M4" s="6"/>
      <c r="N4" s="6"/>
      <c r="O4" s="6"/>
      <c r="P4" s="6"/>
      <c r="Q4" s="6"/>
      <c r="R4" s="6"/>
      <c r="S4" s="6"/>
      <c r="T4" s="6"/>
      <c r="U4" s="6"/>
      <c r="V4" s="8"/>
      <c r="W4" s="8"/>
      <c r="X4" s="8"/>
      <c r="Y4" s="8"/>
      <c r="Z4" s="8"/>
      <c r="AA4" s="8"/>
      <c r="AB4" s="8"/>
      <c r="AC4" s="8"/>
      <c r="AD4" s="8"/>
      <c r="AE4" s="8"/>
      <c r="AF4" s="8"/>
    </row>
    <row r="5" ht="12.75" customHeight="1">
      <c r="A5" s="7">
        <v>4.0</v>
      </c>
      <c r="B5" s="8">
        <v>312.0</v>
      </c>
      <c r="C5" s="8">
        <v>639.0</v>
      </c>
      <c r="D5" s="8">
        <v>982.0</v>
      </c>
      <c r="E5" s="8">
        <v>1343.0</v>
      </c>
      <c r="F5" s="8">
        <v>1722.0</v>
      </c>
      <c r="G5" s="8"/>
      <c r="H5" s="5" t="s">
        <v>6</v>
      </c>
      <c r="I5" s="6"/>
      <c r="J5" s="6"/>
      <c r="K5" s="6"/>
      <c r="L5" s="6"/>
      <c r="M5" s="6"/>
      <c r="N5" s="6"/>
      <c r="O5" s="6"/>
      <c r="P5" s="6"/>
      <c r="Q5" s="6"/>
      <c r="R5" s="6"/>
      <c r="S5" s="6"/>
      <c r="T5" s="6"/>
      <c r="U5" s="6"/>
      <c r="V5" s="8"/>
      <c r="W5" s="8"/>
      <c r="X5" s="8"/>
      <c r="Y5" s="8"/>
      <c r="Z5" s="8"/>
      <c r="AA5" s="8"/>
      <c r="AB5" s="8"/>
      <c r="AC5" s="8"/>
      <c r="AD5" s="8"/>
      <c r="AE5" s="8"/>
      <c r="AF5" s="8"/>
    </row>
    <row r="6" ht="12.75" customHeight="1">
      <c r="A6" s="7">
        <v>5.0</v>
      </c>
      <c r="B6" s="8">
        <v>333.0</v>
      </c>
      <c r="C6" s="8">
        <v>682.0</v>
      </c>
      <c r="D6" s="8">
        <v>1049.0</v>
      </c>
      <c r="E6" s="8">
        <v>1434.0</v>
      </c>
      <c r="F6" s="8">
        <v>1838.0</v>
      </c>
      <c r="G6" s="8"/>
      <c r="I6" s="6"/>
      <c r="J6" s="6"/>
      <c r="K6" s="6"/>
      <c r="L6" s="6"/>
      <c r="M6" s="6"/>
      <c r="N6" s="6"/>
      <c r="O6" s="6"/>
      <c r="P6" s="6"/>
      <c r="Q6" s="6"/>
      <c r="R6" s="6"/>
      <c r="S6" s="6"/>
      <c r="T6" s="6"/>
      <c r="U6" s="6"/>
      <c r="V6" s="8"/>
      <c r="W6" s="8"/>
      <c r="X6" s="8"/>
      <c r="Y6" s="8"/>
      <c r="Z6" s="8"/>
      <c r="AA6" s="8"/>
      <c r="AB6" s="8"/>
      <c r="AC6" s="8"/>
      <c r="AD6" s="8"/>
      <c r="AE6" s="8"/>
      <c r="AF6" s="8"/>
    </row>
    <row r="7" ht="12.75" customHeight="1">
      <c r="A7" s="7">
        <v>6.0</v>
      </c>
      <c r="B7" s="8">
        <v>354.0</v>
      </c>
      <c r="C7" s="8">
        <v>725.0</v>
      </c>
      <c r="D7" s="8">
        <v>1115.0</v>
      </c>
      <c r="E7" s="8">
        <v>1524.0</v>
      </c>
      <c r="F7" s="8">
        <v>1954.0</v>
      </c>
      <c r="G7" s="8"/>
      <c r="H7" s="5" t="s">
        <v>7</v>
      </c>
      <c r="I7" s="6"/>
      <c r="J7" s="6"/>
      <c r="K7" s="6"/>
      <c r="L7" s="6"/>
      <c r="M7" s="6"/>
      <c r="N7" s="6"/>
      <c r="O7" s="6"/>
      <c r="P7" s="6"/>
      <c r="Q7" s="6"/>
      <c r="R7" s="6"/>
      <c r="S7" s="6"/>
      <c r="T7" s="6"/>
      <c r="U7" s="6"/>
      <c r="V7" s="8"/>
      <c r="W7" s="8"/>
      <c r="X7" s="8"/>
      <c r="Y7" s="8"/>
      <c r="Z7" s="8"/>
      <c r="AA7" s="8"/>
      <c r="AB7" s="8"/>
      <c r="AC7" s="8"/>
      <c r="AD7" s="8"/>
      <c r="AE7" s="8"/>
      <c r="AF7" s="8"/>
    </row>
    <row r="8" ht="12.75" customHeight="1">
      <c r="A8" s="7">
        <v>7.0</v>
      </c>
      <c r="B8" s="8">
        <v>375.0</v>
      </c>
      <c r="C8" s="8">
        <v>768.0</v>
      </c>
      <c r="D8" s="8">
        <v>1181.0</v>
      </c>
      <c r="E8" s="8">
        <v>1615.0</v>
      </c>
      <c r="F8" s="8">
        <v>2070.0</v>
      </c>
      <c r="G8" s="8"/>
      <c r="H8" s="6"/>
      <c r="I8" s="6"/>
      <c r="J8" s="6"/>
      <c r="K8" s="6"/>
      <c r="L8" s="6"/>
      <c r="M8" s="6"/>
      <c r="N8" s="6"/>
      <c r="O8" s="6"/>
      <c r="P8" s="6"/>
      <c r="Q8" s="6"/>
      <c r="R8" s="6"/>
      <c r="S8" s="6"/>
      <c r="T8" s="6"/>
      <c r="U8" s="6"/>
      <c r="V8" s="8"/>
      <c r="W8" s="8"/>
      <c r="X8" s="8"/>
      <c r="Y8" s="8"/>
      <c r="Z8" s="8"/>
      <c r="AA8" s="8"/>
      <c r="AB8" s="8"/>
      <c r="AC8" s="8"/>
      <c r="AD8" s="8"/>
      <c r="AE8" s="8"/>
      <c r="AF8" s="8"/>
    </row>
    <row r="9" ht="12.75" customHeight="1">
      <c r="A9" s="7">
        <v>8.0</v>
      </c>
      <c r="B9" s="9">
        <v>395.0</v>
      </c>
      <c r="C9" s="9">
        <v>809.0</v>
      </c>
      <c r="D9" s="9">
        <v>1244.0</v>
      </c>
      <c r="E9" s="9">
        <v>1701.0</v>
      </c>
      <c r="F9" s="9">
        <v>2181.0</v>
      </c>
      <c r="G9" s="8"/>
      <c r="H9" s="6"/>
      <c r="I9" s="6"/>
      <c r="J9" s="6"/>
      <c r="K9" s="6"/>
      <c r="L9" s="6"/>
      <c r="M9" s="6"/>
      <c r="N9" s="6"/>
      <c r="O9" s="6"/>
      <c r="P9" s="6"/>
      <c r="Q9" s="6"/>
      <c r="R9" s="6"/>
      <c r="S9" s="6"/>
      <c r="T9" s="6"/>
      <c r="U9" s="6"/>
      <c r="V9" s="8"/>
      <c r="W9" s="8"/>
      <c r="X9" s="8"/>
      <c r="Y9" s="8"/>
      <c r="Z9" s="8"/>
      <c r="AA9" s="8"/>
      <c r="AB9" s="8"/>
      <c r="AC9" s="8"/>
      <c r="AD9" s="8"/>
      <c r="AE9" s="8"/>
      <c r="AF9" s="8"/>
    </row>
    <row r="10" ht="12.75" customHeight="1">
      <c r="A10" s="7">
        <v>9.0</v>
      </c>
      <c r="B10" s="9">
        <v>416.0</v>
      </c>
      <c r="C10" s="9">
        <v>852.0</v>
      </c>
      <c r="D10" s="9">
        <v>1310.0</v>
      </c>
      <c r="E10" s="9">
        <v>1791.0</v>
      </c>
      <c r="F10" s="9">
        <v>2296.0</v>
      </c>
      <c r="G10" s="8"/>
      <c r="H10" s="6"/>
      <c r="I10" s="6"/>
      <c r="J10" s="6"/>
      <c r="K10" s="6"/>
      <c r="L10" s="6"/>
      <c r="M10" s="6"/>
      <c r="N10" s="6"/>
      <c r="O10" s="6"/>
      <c r="P10" s="6"/>
      <c r="Q10" s="6"/>
      <c r="R10" s="6"/>
      <c r="S10" s="6"/>
      <c r="T10" s="6"/>
      <c r="U10" s="6"/>
      <c r="V10" s="8"/>
      <c r="W10" s="8"/>
      <c r="X10" s="8"/>
      <c r="Y10" s="8"/>
      <c r="Z10" s="8"/>
      <c r="AA10" s="8"/>
      <c r="AB10" s="8"/>
      <c r="AC10" s="8"/>
      <c r="AD10" s="8"/>
      <c r="AE10" s="8"/>
      <c r="AF10" s="8"/>
    </row>
    <row r="11" ht="12.75" customHeight="1">
      <c r="A11" s="7">
        <v>10.0</v>
      </c>
      <c r="B11" s="9">
        <v>437.0</v>
      </c>
      <c r="C11" s="9">
        <v>895.0</v>
      </c>
      <c r="D11" s="9">
        <v>1376.0</v>
      </c>
      <c r="E11" s="9">
        <v>1881.0</v>
      </c>
      <c r="F11" s="9">
        <v>2412.0</v>
      </c>
      <c r="G11" s="8"/>
      <c r="H11" s="6"/>
      <c r="I11" s="6"/>
      <c r="J11" s="6"/>
      <c r="K11" s="6"/>
      <c r="L11" s="6"/>
      <c r="M11" s="6"/>
      <c r="N11" s="6"/>
      <c r="O11" s="6"/>
      <c r="P11" s="6"/>
      <c r="Q11" s="6"/>
      <c r="R11" s="6"/>
      <c r="S11" s="6"/>
      <c r="T11" s="6"/>
      <c r="U11" s="6"/>
      <c r="V11" s="8"/>
      <c r="W11" s="8"/>
      <c r="X11" s="8"/>
      <c r="Y11" s="8"/>
      <c r="Z11" s="8"/>
      <c r="AA11" s="8"/>
      <c r="AB11" s="8"/>
      <c r="AC11" s="8"/>
      <c r="AD11" s="8"/>
      <c r="AE11" s="8"/>
      <c r="AF11" s="8"/>
    </row>
    <row r="12" ht="12.75" customHeight="1">
      <c r="A12" s="7">
        <v>11.0</v>
      </c>
      <c r="B12" s="8">
        <v>458.0</v>
      </c>
      <c r="C12" s="8">
        <v>938.0</v>
      </c>
      <c r="D12" s="8">
        <v>1442.0</v>
      </c>
      <c r="E12" s="8">
        <v>1972.0</v>
      </c>
      <c r="F12" s="8">
        <v>2528.0</v>
      </c>
      <c r="G12" s="8"/>
      <c r="H12" s="6"/>
      <c r="I12" s="6"/>
      <c r="J12" s="6"/>
      <c r="K12" s="6"/>
      <c r="L12" s="6"/>
      <c r="M12" s="6"/>
      <c r="N12" s="6"/>
      <c r="O12" s="6"/>
      <c r="P12" s="6"/>
      <c r="Q12" s="6"/>
      <c r="R12" s="6"/>
      <c r="S12" s="6"/>
      <c r="T12" s="6"/>
      <c r="U12" s="6"/>
      <c r="V12" s="8"/>
      <c r="W12" s="8"/>
      <c r="X12" s="8"/>
      <c r="Y12" s="8"/>
      <c r="Z12" s="8"/>
      <c r="AA12" s="8"/>
      <c r="AB12" s="8"/>
      <c r="AC12" s="8"/>
      <c r="AD12" s="8"/>
      <c r="AE12" s="8"/>
      <c r="AF12" s="8"/>
    </row>
    <row r="13" ht="12.75" customHeight="1">
      <c r="A13" s="7">
        <v>12.0</v>
      </c>
      <c r="B13" s="8">
        <v>479.0</v>
      </c>
      <c r="C13" s="8">
        <v>981.0</v>
      </c>
      <c r="D13" s="8">
        <v>1509.0</v>
      </c>
      <c r="E13" s="8">
        <v>2063.0</v>
      </c>
      <c r="F13" s="8">
        <v>2645.0</v>
      </c>
      <c r="G13" s="8"/>
      <c r="H13" s="8"/>
      <c r="I13" s="8"/>
      <c r="J13" s="8"/>
      <c r="K13" s="8"/>
      <c r="L13" s="8"/>
      <c r="M13" s="8"/>
      <c r="N13" s="8"/>
      <c r="O13" s="8"/>
      <c r="P13" s="8"/>
      <c r="Q13" s="8"/>
      <c r="R13" s="8"/>
      <c r="S13" s="8"/>
      <c r="T13" s="8"/>
      <c r="U13" s="8"/>
      <c r="V13" s="8"/>
      <c r="W13" s="8"/>
      <c r="X13" s="8"/>
      <c r="Y13" s="8"/>
      <c r="Z13" s="8"/>
      <c r="AA13" s="8"/>
      <c r="AB13" s="8"/>
      <c r="AC13" s="8"/>
      <c r="AD13" s="8"/>
      <c r="AE13" s="8"/>
      <c r="AF13" s="8"/>
    </row>
    <row r="14" ht="12.75" customHeight="1">
      <c r="A14" s="7">
        <v>13.0</v>
      </c>
      <c r="B14" s="8">
        <v>500.0</v>
      </c>
      <c r="C14" s="8">
        <v>1025.0</v>
      </c>
      <c r="D14" s="8">
        <v>1576.0</v>
      </c>
      <c r="E14" s="8">
        <v>2154.0</v>
      </c>
      <c r="F14" s="8">
        <v>2761.0</v>
      </c>
      <c r="G14" s="8"/>
      <c r="H14" s="8"/>
      <c r="I14" s="8"/>
      <c r="J14" s="8"/>
      <c r="K14" s="8"/>
      <c r="L14" s="8"/>
      <c r="M14" s="8"/>
      <c r="N14" s="8"/>
      <c r="O14" s="8"/>
      <c r="P14" s="8"/>
      <c r="Q14" s="8"/>
      <c r="R14" s="8"/>
      <c r="S14" s="8"/>
      <c r="T14" s="8"/>
      <c r="U14" s="8"/>
      <c r="V14" s="8"/>
      <c r="W14" s="8"/>
      <c r="X14" s="8"/>
      <c r="Y14" s="8"/>
      <c r="Z14" s="8"/>
      <c r="AA14" s="8"/>
      <c r="AB14" s="8"/>
      <c r="AC14" s="8"/>
      <c r="AD14" s="8"/>
      <c r="AE14" s="8"/>
      <c r="AF14" s="8"/>
    </row>
    <row r="15" ht="12.75" customHeight="1">
      <c r="A15" s="7">
        <v>14.0</v>
      </c>
      <c r="B15" s="8">
        <v>550.0</v>
      </c>
      <c r="C15" s="8">
        <v>1127.0</v>
      </c>
      <c r="D15" s="8">
        <v>1733.0</v>
      </c>
      <c r="E15" s="8">
        <v>2369.0</v>
      </c>
      <c r="F15" s="8">
        <v>3037.0</v>
      </c>
      <c r="G15" s="8"/>
      <c r="H15" s="8"/>
      <c r="I15" s="8"/>
      <c r="J15" s="8"/>
      <c r="K15" s="8"/>
      <c r="L15" s="8"/>
      <c r="M15" s="8"/>
      <c r="N15" s="8"/>
      <c r="O15" s="8"/>
      <c r="P15" s="8"/>
      <c r="Q15" s="8"/>
      <c r="R15" s="8"/>
      <c r="S15" s="8"/>
      <c r="T15" s="8"/>
      <c r="U15" s="8"/>
      <c r="V15" s="8"/>
      <c r="W15" s="8"/>
      <c r="X15" s="8"/>
      <c r="Y15" s="8"/>
      <c r="Z15" s="8"/>
      <c r="AA15" s="8"/>
      <c r="AB15" s="8"/>
      <c r="AC15" s="8"/>
      <c r="AD15" s="8"/>
      <c r="AE15" s="8"/>
      <c r="AF15" s="8"/>
    </row>
    <row r="16" ht="12.75" customHeight="1">
      <c r="A16" s="7">
        <v>15.0</v>
      </c>
      <c r="B16" s="8">
        <v>600.0</v>
      </c>
      <c r="C16" s="8">
        <v>1230.0</v>
      </c>
      <c r="D16" s="8">
        <v>1891.0</v>
      </c>
      <c r="E16" s="8">
        <v>2585.0</v>
      </c>
      <c r="F16" s="8">
        <v>3314.0</v>
      </c>
      <c r="G16" s="8"/>
      <c r="H16" s="8"/>
      <c r="I16" s="8"/>
      <c r="J16" s="8"/>
      <c r="K16" s="8"/>
      <c r="L16" s="8"/>
      <c r="M16" s="8"/>
      <c r="N16" s="8"/>
      <c r="O16" s="8"/>
      <c r="P16" s="8"/>
      <c r="Q16" s="8"/>
      <c r="R16" s="8"/>
      <c r="S16" s="8"/>
      <c r="T16" s="8"/>
      <c r="U16" s="8"/>
      <c r="V16" s="8"/>
      <c r="W16" s="8"/>
      <c r="X16" s="8"/>
      <c r="Y16" s="8"/>
      <c r="Z16" s="8"/>
      <c r="AA16" s="8"/>
      <c r="AB16" s="8"/>
      <c r="AC16" s="8"/>
      <c r="AD16" s="8"/>
      <c r="AE16" s="8"/>
      <c r="AF16" s="8"/>
    </row>
    <row r="17" ht="12.75" customHeight="1">
      <c r="A17" s="7">
        <v>16.0</v>
      </c>
      <c r="B17" s="8">
        <v>650.0</v>
      </c>
      <c r="C17" s="8">
        <v>1332.0</v>
      </c>
      <c r="D17" s="8">
        <v>2048.0</v>
      </c>
      <c r="E17" s="8">
        <v>2800.0</v>
      </c>
      <c r="F17" s="8">
        <v>3590.0</v>
      </c>
      <c r="G17" s="8"/>
      <c r="H17" s="8"/>
      <c r="I17" s="8"/>
      <c r="J17" s="8"/>
      <c r="K17" s="8"/>
      <c r="L17" s="8"/>
      <c r="M17" s="8"/>
      <c r="N17" s="8"/>
      <c r="O17" s="8"/>
      <c r="P17" s="8"/>
      <c r="Q17" s="8"/>
      <c r="R17" s="8"/>
      <c r="S17" s="8"/>
      <c r="T17" s="8"/>
      <c r="U17" s="8"/>
      <c r="V17" s="8"/>
      <c r="W17" s="8"/>
      <c r="X17" s="8"/>
      <c r="Y17" s="8"/>
      <c r="Z17" s="8"/>
      <c r="AA17" s="8"/>
      <c r="AB17" s="8"/>
      <c r="AC17" s="8"/>
      <c r="AD17" s="8"/>
      <c r="AE17" s="8"/>
      <c r="AF17" s="8"/>
    </row>
    <row r="18" ht="12.75" customHeight="1">
      <c r="A18" s="7">
        <v>17.0</v>
      </c>
      <c r="B18" s="8">
        <v>700.0</v>
      </c>
      <c r="C18" s="8">
        <v>1434.0</v>
      </c>
      <c r="D18" s="8">
        <v>2205.0</v>
      </c>
      <c r="E18" s="8">
        <v>3015.0</v>
      </c>
      <c r="F18" s="8">
        <v>3865.0</v>
      </c>
      <c r="G18" s="8"/>
      <c r="H18" s="8"/>
      <c r="I18" s="8"/>
      <c r="J18" s="8"/>
      <c r="K18" s="8"/>
      <c r="L18" s="8"/>
      <c r="M18" s="8"/>
      <c r="N18" s="8"/>
      <c r="O18" s="8"/>
      <c r="P18" s="8"/>
      <c r="Q18" s="8"/>
      <c r="R18" s="8"/>
      <c r="S18" s="8"/>
      <c r="T18" s="8"/>
      <c r="U18" s="8"/>
      <c r="V18" s="8"/>
      <c r="W18" s="8"/>
      <c r="X18" s="8"/>
      <c r="Y18" s="8"/>
      <c r="Z18" s="8"/>
      <c r="AA18" s="8"/>
      <c r="AB18" s="8"/>
      <c r="AC18" s="8"/>
      <c r="AD18" s="8"/>
      <c r="AE18" s="8"/>
      <c r="AF18" s="8"/>
    </row>
    <row r="19" ht="12.75" customHeight="1">
      <c r="A19" s="7">
        <v>18.0</v>
      </c>
      <c r="B19" s="8">
        <v>750.0</v>
      </c>
      <c r="C19" s="8">
        <v>1537.0</v>
      </c>
      <c r="D19" s="8">
        <v>2363.0</v>
      </c>
      <c r="E19" s="8">
        <v>3231.0</v>
      </c>
      <c r="F19" s="8">
        <v>4142.0</v>
      </c>
      <c r="G19" s="8"/>
      <c r="H19" s="8"/>
      <c r="I19" s="8"/>
      <c r="J19" s="8"/>
      <c r="K19" s="8"/>
      <c r="L19" s="8"/>
      <c r="M19" s="8"/>
      <c r="N19" s="8"/>
      <c r="O19" s="8"/>
      <c r="P19" s="8"/>
      <c r="Q19" s="8"/>
      <c r="R19" s="8"/>
      <c r="S19" s="8"/>
      <c r="T19" s="8"/>
      <c r="U19" s="8"/>
      <c r="V19" s="8"/>
      <c r="W19" s="8"/>
      <c r="X19" s="8"/>
      <c r="Y19" s="8"/>
      <c r="Z19" s="8"/>
      <c r="AA19" s="8"/>
      <c r="AB19" s="8"/>
      <c r="AC19" s="8"/>
      <c r="AD19" s="8"/>
      <c r="AE19" s="8"/>
      <c r="AF19" s="8"/>
    </row>
    <row r="20" ht="12.75" customHeight="1">
      <c r="A20" s="7">
        <v>19.0</v>
      </c>
      <c r="B20" s="8">
        <v>800.0</v>
      </c>
      <c r="C20" s="8">
        <v>1639.0</v>
      </c>
      <c r="D20" s="8">
        <v>2520.0</v>
      </c>
      <c r="E20" s="8">
        <v>3446.0</v>
      </c>
      <c r="F20" s="8">
        <v>4418.0</v>
      </c>
      <c r="G20" s="8"/>
      <c r="H20" s="8"/>
      <c r="I20" s="8"/>
      <c r="J20" s="8"/>
      <c r="K20" s="8"/>
      <c r="L20" s="8"/>
      <c r="M20" s="8"/>
      <c r="N20" s="8"/>
      <c r="O20" s="8"/>
      <c r="P20" s="8"/>
      <c r="Q20" s="8"/>
      <c r="R20" s="8"/>
      <c r="S20" s="8"/>
      <c r="T20" s="8"/>
      <c r="U20" s="8"/>
      <c r="V20" s="8"/>
      <c r="W20" s="8"/>
      <c r="X20" s="8"/>
      <c r="Y20" s="8"/>
      <c r="Z20" s="8"/>
      <c r="AA20" s="8"/>
      <c r="AB20" s="8"/>
      <c r="AC20" s="8"/>
      <c r="AD20" s="8"/>
      <c r="AE20" s="8"/>
      <c r="AF20" s="8"/>
    </row>
    <row r="21" ht="12.75" customHeight="1">
      <c r="A21" s="7">
        <v>20.0</v>
      </c>
      <c r="B21" s="8">
        <v>850.0</v>
      </c>
      <c r="C21" s="8">
        <v>1742.0</v>
      </c>
      <c r="D21" s="8">
        <v>2679.0</v>
      </c>
      <c r="E21" s="8">
        <v>3662.0</v>
      </c>
      <c r="F21" s="8">
        <v>4695.0</v>
      </c>
      <c r="G21" s="8"/>
      <c r="H21" s="8"/>
      <c r="I21" s="8"/>
      <c r="J21" s="8"/>
      <c r="K21" s="8"/>
      <c r="L21" s="8"/>
      <c r="M21" s="8"/>
      <c r="N21" s="8"/>
      <c r="O21" s="8"/>
      <c r="P21" s="8"/>
      <c r="Q21" s="8"/>
      <c r="R21" s="8"/>
      <c r="S21" s="8"/>
      <c r="T21" s="8"/>
      <c r="U21" s="8"/>
      <c r="V21" s="8"/>
      <c r="W21" s="8"/>
      <c r="X21" s="8"/>
      <c r="Y21" s="8"/>
      <c r="Z21" s="8"/>
      <c r="AA21" s="8"/>
      <c r="AB21" s="8"/>
      <c r="AC21" s="8"/>
      <c r="AD21" s="8"/>
      <c r="AE21" s="8"/>
      <c r="AF21" s="8"/>
    </row>
    <row r="22" ht="12.75" customHeight="1">
      <c r="A22" s="7">
        <v>21.0</v>
      </c>
      <c r="B22" s="8">
        <v>900.0</v>
      </c>
      <c r="C22" s="8">
        <v>1844.0</v>
      </c>
      <c r="D22" s="8">
        <v>2836.0</v>
      </c>
      <c r="E22" s="8">
        <v>3877.0</v>
      </c>
      <c r="F22" s="8">
        <v>4970.0</v>
      </c>
      <c r="G22" s="8"/>
      <c r="H22" s="8"/>
      <c r="I22" s="8"/>
      <c r="J22" s="8"/>
      <c r="K22" s="8"/>
      <c r="L22" s="8"/>
      <c r="M22" s="8"/>
      <c r="N22" s="8"/>
      <c r="O22" s="8"/>
      <c r="P22" s="8"/>
      <c r="Q22" s="8"/>
      <c r="R22" s="8"/>
      <c r="S22" s="8"/>
      <c r="T22" s="8"/>
      <c r="U22" s="8"/>
      <c r="V22" s="8"/>
      <c r="W22" s="8"/>
      <c r="X22" s="8"/>
      <c r="Y22" s="8"/>
      <c r="Z22" s="8"/>
      <c r="AA22" s="8"/>
      <c r="AB22" s="8"/>
      <c r="AC22" s="8"/>
      <c r="AD22" s="8"/>
      <c r="AE22" s="8"/>
      <c r="AF22" s="8"/>
    </row>
    <row r="23" ht="12.75" customHeight="1">
      <c r="A23" s="7">
        <v>22.0</v>
      </c>
      <c r="B23" s="8">
        <v>950.0</v>
      </c>
      <c r="C23" s="8">
        <v>1947.0</v>
      </c>
      <c r="D23" s="8">
        <v>2994.0</v>
      </c>
      <c r="E23" s="8">
        <v>4093.0</v>
      </c>
      <c r="F23" s="8">
        <v>5247.0</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ht="12.75" customHeight="1">
      <c r="A24" s="7">
        <v>23.0</v>
      </c>
      <c r="B24" s="8">
        <v>1000.0</v>
      </c>
      <c r="C24" s="8">
        <v>2050.0</v>
      </c>
      <c r="D24" s="8">
        <v>3152.0</v>
      </c>
      <c r="E24" s="8">
        <v>4309.0</v>
      </c>
      <c r="F24" s="8">
        <v>5524.0</v>
      </c>
      <c r="G24" s="8"/>
      <c r="H24" s="8"/>
      <c r="I24" s="8"/>
      <c r="J24" s="8"/>
      <c r="K24" s="8"/>
      <c r="L24" s="8"/>
      <c r="M24" s="8"/>
      <c r="N24" s="8"/>
      <c r="O24" s="8"/>
      <c r="P24" s="8"/>
      <c r="Q24" s="8"/>
      <c r="R24" s="8"/>
      <c r="S24" s="8"/>
      <c r="T24" s="8"/>
      <c r="U24" s="8"/>
      <c r="V24" s="8"/>
      <c r="W24" s="8"/>
      <c r="X24" s="8"/>
      <c r="Y24" s="8"/>
      <c r="Z24" s="8"/>
      <c r="AA24" s="8"/>
      <c r="AB24" s="8"/>
      <c r="AC24" s="8"/>
      <c r="AD24" s="8"/>
      <c r="AE24" s="8"/>
      <c r="AF24" s="8"/>
    </row>
    <row r="25" ht="12.75" customHeight="1">
      <c r="A25" s="7">
        <v>24.0</v>
      </c>
      <c r="B25" s="8">
        <v>1136.0</v>
      </c>
      <c r="C25" s="8">
        <v>2328.0</v>
      </c>
      <c r="D25" s="8">
        <v>3580.0</v>
      </c>
      <c r="E25" s="8">
        <v>4895.0</v>
      </c>
      <c r="F25" s="8">
        <v>6275.0</v>
      </c>
      <c r="G25" s="8"/>
      <c r="H25" s="8"/>
      <c r="I25" s="8"/>
      <c r="J25" s="8"/>
      <c r="K25" s="8"/>
      <c r="L25" s="8"/>
      <c r="M25" s="8"/>
      <c r="N25" s="8"/>
      <c r="O25" s="8"/>
      <c r="P25" s="8"/>
      <c r="Q25" s="8"/>
      <c r="R25" s="8"/>
      <c r="S25" s="8"/>
      <c r="T25" s="8"/>
      <c r="U25" s="8"/>
      <c r="V25" s="8"/>
      <c r="W25" s="8"/>
      <c r="X25" s="8"/>
      <c r="Y25" s="8"/>
      <c r="Z25" s="8"/>
      <c r="AA25" s="8"/>
      <c r="AB25" s="8"/>
      <c r="AC25" s="8"/>
      <c r="AD25" s="8"/>
      <c r="AE25" s="8"/>
      <c r="AF25" s="8"/>
    </row>
    <row r="26" ht="12.75" customHeight="1">
      <c r="A26" s="7">
        <v>25.0</v>
      </c>
      <c r="B26" s="8">
        <v>1272.0</v>
      </c>
      <c r="C26" s="8">
        <v>2607.0</v>
      </c>
      <c r="D26" s="8">
        <v>4009.0</v>
      </c>
      <c r="E26" s="8">
        <v>5481.0</v>
      </c>
      <c r="F26" s="8">
        <v>7027.0</v>
      </c>
      <c r="G26" s="8"/>
      <c r="H26" s="8"/>
      <c r="I26" s="8"/>
      <c r="J26" s="8"/>
      <c r="K26" s="8"/>
      <c r="L26" s="6"/>
      <c r="M26" s="8"/>
      <c r="N26" s="8"/>
      <c r="O26" s="8"/>
      <c r="P26" s="8"/>
      <c r="Q26" s="8"/>
      <c r="R26" s="8"/>
      <c r="S26" s="8"/>
      <c r="T26" s="8"/>
      <c r="U26" s="8"/>
      <c r="V26" s="8"/>
      <c r="W26" s="8"/>
      <c r="X26" s="8"/>
      <c r="Y26" s="8"/>
      <c r="Z26" s="8"/>
      <c r="AA26" s="8"/>
      <c r="AB26" s="8"/>
      <c r="AC26" s="8"/>
      <c r="AD26" s="8"/>
      <c r="AE26" s="8"/>
      <c r="AF26" s="8"/>
    </row>
    <row r="27" ht="12.75" customHeight="1">
      <c r="A27" s="7">
        <v>26.0</v>
      </c>
      <c r="B27" s="8">
        <v>1409.0</v>
      </c>
      <c r="C27" s="8">
        <v>2888.0</v>
      </c>
      <c r="D27" s="8">
        <v>4441.0</v>
      </c>
      <c r="E27" s="8">
        <v>6072.0</v>
      </c>
      <c r="F27" s="8">
        <v>7784.0</v>
      </c>
      <c r="G27" s="8"/>
      <c r="H27" s="8"/>
      <c r="I27" s="8"/>
      <c r="J27" s="8"/>
      <c r="K27" s="8"/>
      <c r="L27" s="6"/>
      <c r="M27" s="8"/>
      <c r="N27" s="8"/>
      <c r="O27" s="8"/>
      <c r="P27" s="8"/>
      <c r="Q27" s="8"/>
      <c r="R27" s="8"/>
      <c r="S27" s="8"/>
      <c r="T27" s="8"/>
      <c r="U27" s="8"/>
      <c r="V27" s="8"/>
      <c r="W27" s="8"/>
      <c r="X27" s="8"/>
      <c r="Y27" s="8"/>
      <c r="Z27" s="8"/>
      <c r="AA27" s="8"/>
      <c r="AB27" s="8"/>
      <c r="AC27" s="8"/>
      <c r="AD27" s="8"/>
      <c r="AE27" s="8"/>
      <c r="AF27" s="8"/>
    </row>
    <row r="28" ht="12.75" customHeight="1">
      <c r="A28" s="7">
        <v>27.0</v>
      </c>
      <c r="B28" s="8">
        <v>1545.0</v>
      </c>
      <c r="C28" s="8">
        <v>3167.0</v>
      </c>
      <c r="D28" s="8">
        <v>4870.0</v>
      </c>
      <c r="E28" s="8">
        <v>6658.0</v>
      </c>
      <c r="F28" s="8">
        <v>8535.0</v>
      </c>
      <c r="G28" s="8"/>
      <c r="H28" s="8"/>
      <c r="I28" s="8"/>
      <c r="J28" s="8"/>
      <c r="K28" s="8"/>
      <c r="L28" s="8"/>
      <c r="M28" s="8"/>
      <c r="N28" s="8"/>
      <c r="O28" s="8"/>
      <c r="P28" s="8"/>
      <c r="Q28" s="8"/>
      <c r="R28" s="25"/>
      <c r="S28" s="25"/>
      <c r="T28" s="25"/>
      <c r="U28" s="25"/>
      <c r="V28" s="25"/>
      <c r="W28" s="25"/>
      <c r="X28" s="8"/>
      <c r="Y28" s="8"/>
      <c r="Z28" s="8"/>
      <c r="AA28" s="8"/>
      <c r="AB28" s="8"/>
      <c r="AC28" s="8"/>
      <c r="AD28" s="8"/>
      <c r="AE28" s="8"/>
      <c r="AF28" s="8"/>
    </row>
    <row r="29" ht="12.75" customHeight="1">
      <c r="A29" s="7">
        <v>28.0</v>
      </c>
      <c r="B29" s="8">
        <v>1681.0</v>
      </c>
      <c r="C29" s="8">
        <v>3446.0</v>
      </c>
      <c r="D29" s="8">
        <v>5299.0</v>
      </c>
      <c r="E29" s="8">
        <v>7244.0</v>
      </c>
      <c r="F29" s="8">
        <v>9287.0</v>
      </c>
      <c r="G29" s="8"/>
      <c r="H29" s="8"/>
      <c r="I29" s="8"/>
      <c r="J29" s="8"/>
      <c r="K29" s="8"/>
      <c r="L29" s="8"/>
      <c r="M29" s="8"/>
      <c r="N29" s="8"/>
      <c r="O29" s="8"/>
      <c r="P29" s="8"/>
      <c r="Q29" s="8"/>
      <c r="R29" s="25"/>
      <c r="S29" s="25"/>
      <c r="T29" s="25"/>
      <c r="U29" s="25"/>
      <c r="V29" s="25"/>
      <c r="W29" s="25"/>
      <c r="X29" s="8"/>
      <c r="Y29" s="8"/>
      <c r="Z29" s="8"/>
      <c r="AA29" s="8"/>
      <c r="AB29" s="8"/>
      <c r="AC29" s="8"/>
      <c r="AD29" s="8"/>
      <c r="AE29" s="8"/>
      <c r="AF29" s="8"/>
    </row>
    <row r="30" ht="12.75" customHeight="1">
      <c r="A30" s="7">
        <v>29.0</v>
      </c>
      <c r="B30" s="8">
        <v>1818.0</v>
      </c>
      <c r="C30" s="8">
        <v>3726.0</v>
      </c>
      <c r="D30" s="8">
        <v>5730.0</v>
      </c>
      <c r="E30" s="8">
        <v>7834.0</v>
      </c>
      <c r="F30" s="8">
        <v>10043.0</v>
      </c>
      <c r="G30" s="8"/>
      <c r="H30" s="8"/>
      <c r="I30" s="8"/>
      <c r="J30" s="8"/>
      <c r="K30" s="8"/>
      <c r="L30" s="8"/>
      <c r="M30" s="8"/>
      <c r="N30" s="8"/>
      <c r="O30" s="8"/>
      <c r="P30" s="8"/>
      <c r="Q30" s="8"/>
      <c r="R30" s="8"/>
      <c r="S30" s="8"/>
      <c r="T30" s="8"/>
      <c r="U30" s="8"/>
      <c r="V30" s="8"/>
      <c r="W30" s="8"/>
      <c r="X30" s="8"/>
      <c r="Y30" s="8"/>
      <c r="Z30" s="8"/>
      <c r="AA30" s="8"/>
      <c r="AB30" s="8"/>
      <c r="AC30" s="8"/>
      <c r="AD30" s="8"/>
      <c r="AE30" s="8"/>
      <c r="AF30" s="8"/>
    </row>
    <row r="31" ht="12.75" customHeight="1">
      <c r="A31" s="7">
        <v>30.0</v>
      </c>
      <c r="B31" s="8">
        <v>1954.0</v>
      </c>
      <c r="C31" s="8">
        <v>4005.0</v>
      </c>
      <c r="D31" s="8">
        <v>6159.0</v>
      </c>
      <c r="E31" s="8">
        <v>8420.0</v>
      </c>
      <c r="F31" s="8">
        <v>10795.0</v>
      </c>
      <c r="G31" s="8"/>
      <c r="H31" s="8"/>
      <c r="I31" s="8"/>
      <c r="J31" s="8"/>
      <c r="K31" s="8"/>
      <c r="L31" s="8"/>
      <c r="M31" s="8"/>
      <c r="N31" s="8"/>
      <c r="O31" s="8"/>
      <c r="P31" s="8"/>
      <c r="Q31" s="8"/>
      <c r="R31" s="8"/>
      <c r="S31" s="8"/>
      <c r="T31" s="8"/>
      <c r="U31" s="8"/>
      <c r="V31" s="8"/>
      <c r="W31" s="8"/>
      <c r="X31" s="8"/>
      <c r="Y31" s="8"/>
      <c r="Z31" s="8"/>
      <c r="AA31" s="8"/>
      <c r="AB31" s="8"/>
      <c r="AC31" s="8"/>
      <c r="AD31" s="8"/>
      <c r="AE31" s="8"/>
      <c r="AF31" s="8"/>
    </row>
    <row r="32" ht="12.75" customHeight="1">
      <c r="A32" s="7">
        <v>31.0</v>
      </c>
      <c r="B32" s="8">
        <v>2090.0</v>
      </c>
      <c r="C32" s="8">
        <v>4284.0</v>
      </c>
      <c r="D32" s="8">
        <v>6588.0</v>
      </c>
      <c r="E32" s="8">
        <v>9007.0</v>
      </c>
      <c r="F32" s="8">
        <v>11547.0</v>
      </c>
      <c r="G32" s="8"/>
      <c r="H32" s="8"/>
      <c r="I32" s="8"/>
      <c r="J32" s="8"/>
      <c r="K32" s="8"/>
      <c r="L32" s="8"/>
      <c r="M32" s="8"/>
      <c r="N32" s="8"/>
      <c r="O32" s="8"/>
      <c r="P32" s="8"/>
      <c r="Q32" s="8"/>
      <c r="R32" s="8"/>
      <c r="S32" s="8"/>
      <c r="T32" s="8"/>
      <c r="U32" s="8"/>
      <c r="V32" s="8"/>
      <c r="W32" s="8"/>
      <c r="X32" s="8"/>
      <c r="Y32" s="8"/>
      <c r="Z32" s="8"/>
      <c r="AA32" s="8"/>
      <c r="AB32" s="8"/>
      <c r="AC32" s="8"/>
      <c r="AD32" s="8"/>
      <c r="AE32" s="8"/>
      <c r="AF32" s="8"/>
    </row>
    <row r="33" ht="12.75" customHeight="1">
      <c r="A33" s="7">
        <v>32.0</v>
      </c>
      <c r="B33" s="8">
        <v>2227.0</v>
      </c>
      <c r="C33" s="8">
        <v>4565.0</v>
      </c>
      <c r="D33" s="8">
        <v>7020.0</v>
      </c>
      <c r="E33" s="8">
        <v>9598.0</v>
      </c>
      <c r="F33" s="8">
        <v>12304.0</v>
      </c>
      <c r="G33" s="8"/>
      <c r="H33" s="8"/>
      <c r="I33" s="8"/>
      <c r="J33" s="8"/>
      <c r="K33" s="8"/>
      <c r="L33" s="8"/>
      <c r="M33" s="8"/>
      <c r="N33" s="8"/>
      <c r="O33" s="8"/>
      <c r="P33" s="8"/>
      <c r="Q33" s="8"/>
      <c r="R33" s="8"/>
      <c r="S33" s="8"/>
      <c r="T33" s="8"/>
      <c r="U33" s="8"/>
      <c r="V33" s="8"/>
      <c r="W33" s="8"/>
      <c r="X33" s="8"/>
      <c r="Y33" s="8"/>
      <c r="Z33" s="8"/>
      <c r="AA33" s="8"/>
      <c r="AB33" s="8"/>
      <c r="AC33" s="8"/>
      <c r="AD33" s="8"/>
      <c r="AE33" s="8"/>
      <c r="AF33" s="8"/>
    </row>
    <row r="34" ht="12.75" customHeight="1">
      <c r="A34" s="7">
        <v>33.0</v>
      </c>
      <c r="B34" s="8">
        <v>2363.0</v>
      </c>
      <c r="C34" s="8">
        <v>4844.0</v>
      </c>
      <c r="D34" s="8">
        <v>7449.0</v>
      </c>
      <c r="E34" s="8">
        <v>10184.0</v>
      </c>
      <c r="F34" s="8">
        <v>13056.0</v>
      </c>
      <c r="G34" s="8"/>
      <c r="H34" s="8"/>
      <c r="I34" s="8"/>
      <c r="J34" s="8"/>
      <c r="K34" s="8"/>
      <c r="L34" s="8"/>
      <c r="M34" s="8"/>
      <c r="N34" s="8"/>
      <c r="O34" s="8"/>
      <c r="P34" s="8"/>
      <c r="Q34" s="8"/>
      <c r="R34" s="8"/>
      <c r="S34" s="8"/>
      <c r="T34" s="8"/>
      <c r="U34" s="8"/>
      <c r="V34" s="8"/>
      <c r="W34" s="8"/>
      <c r="X34" s="8"/>
      <c r="Y34" s="8"/>
      <c r="Z34" s="8"/>
      <c r="AA34" s="8"/>
      <c r="AB34" s="8"/>
      <c r="AC34" s="8"/>
      <c r="AD34" s="8"/>
      <c r="AE34" s="8"/>
      <c r="AF34" s="8"/>
    </row>
    <row r="35" ht="12.75" customHeight="1">
      <c r="A35" s="7">
        <v>34.0</v>
      </c>
      <c r="B35" s="8">
        <v>2500.0</v>
      </c>
      <c r="C35" s="8">
        <v>5125.0</v>
      </c>
      <c r="D35" s="8">
        <v>7881.0</v>
      </c>
      <c r="E35" s="8">
        <v>10775.0</v>
      </c>
      <c r="F35" s="8">
        <v>13813.0</v>
      </c>
      <c r="G35" s="8"/>
      <c r="H35" s="8"/>
      <c r="I35" s="8"/>
      <c r="J35" s="8"/>
      <c r="K35" s="8"/>
      <c r="L35" s="8"/>
      <c r="M35" s="8"/>
      <c r="N35" s="8"/>
      <c r="O35" s="8"/>
      <c r="P35" s="8"/>
      <c r="Q35" s="8"/>
      <c r="R35" s="8"/>
      <c r="S35" s="8"/>
      <c r="T35" s="8"/>
      <c r="U35" s="8"/>
      <c r="V35" s="8"/>
      <c r="W35" s="8"/>
      <c r="X35" s="8"/>
      <c r="Y35" s="8"/>
      <c r="Z35" s="8"/>
      <c r="AA35" s="8"/>
      <c r="AB35" s="8"/>
      <c r="AC35" s="8"/>
      <c r="AD35" s="8"/>
      <c r="AE35" s="8"/>
      <c r="AF35" s="8"/>
    </row>
    <row r="36" ht="12.75" customHeight="1">
      <c r="A36" s="7">
        <v>35.0</v>
      </c>
      <c r="B36" s="8">
        <v>2545.0</v>
      </c>
      <c r="C36" s="8">
        <v>5217.0</v>
      </c>
      <c r="D36" s="8">
        <v>8022.0</v>
      </c>
      <c r="E36" s="8">
        <v>10968.0</v>
      </c>
      <c r="F36" s="8">
        <v>14061.0</v>
      </c>
      <c r="G36" s="8"/>
      <c r="H36" s="8"/>
      <c r="I36" s="8"/>
      <c r="J36" s="8"/>
      <c r="K36" s="8"/>
      <c r="L36" s="8"/>
      <c r="M36" s="8"/>
      <c r="N36" s="8"/>
      <c r="O36" s="8"/>
      <c r="P36" s="8"/>
      <c r="Q36" s="8"/>
      <c r="R36" s="8"/>
      <c r="S36" s="8"/>
      <c r="T36" s="8"/>
      <c r="U36" s="8"/>
      <c r="V36" s="8"/>
      <c r="W36" s="8"/>
      <c r="X36" s="8"/>
      <c r="Y36" s="8"/>
      <c r="Z36" s="8"/>
      <c r="AA36" s="8"/>
      <c r="AB36" s="8"/>
      <c r="AC36" s="8"/>
      <c r="AD36" s="8"/>
      <c r="AE36" s="8"/>
      <c r="AF36" s="8"/>
    </row>
    <row r="37" ht="12.75" customHeight="1">
      <c r="A37" s="7">
        <v>36.0</v>
      </c>
      <c r="B37" s="8">
        <v>2590.0</v>
      </c>
      <c r="C37" s="8">
        <v>5309.0</v>
      </c>
      <c r="D37" s="8">
        <v>8164.0</v>
      </c>
      <c r="E37" s="8">
        <v>11162.0</v>
      </c>
      <c r="F37" s="8">
        <v>14310.0</v>
      </c>
      <c r="G37" s="8"/>
      <c r="H37" s="8"/>
      <c r="I37" s="8"/>
      <c r="J37" s="8"/>
      <c r="K37" s="8"/>
      <c r="L37" s="8"/>
      <c r="M37" s="8"/>
      <c r="N37" s="8"/>
      <c r="O37" s="8"/>
      <c r="P37" s="8"/>
      <c r="Q37" s="8"/>
      <c r="R37" s="8"/>
      <c r="S37" s="8"/>
      <c r="T37" s="8"/>
      <c r="U37" s="8"/>
      <c r="V37" s="8"/>
      <c r="W37" s="8"/>
      <c r="X37" s="8"/>
      <c r="Y37" s="8"/>
      <c r="Z37" s="8"/>
      <c r="AA37" s="8"/>
      <c r="AB37" s="8"/>
      <c r="AC37" s="8"/>
      <c r="AD37" s="8"/>
      <c r="AE37" s="8"/>
      <c r="AF37" s="8"/>
    </row>
    <row r="38" ht="12.75" customHeight="1">
      <c r="A38" s="7">
        <v>37.0</v>
      </c>
      <c r="B38" s="8">
        <v>2636.0</v>
      </c>
      <c r="C38" s="8">
        <v>5403.0</v>
      </c>
      <c r="D38" s="8">
        <v>8309.0</v>
      </c>
      <c r="E38" s="8">
        <v>11360.0</v>
      </c>
      <c r="F38" s="8">
        <v>14564.0</v>
      </c>
      <c r="G38" s="8"/>
      <c r="H38" s="8"/>
      <c r="I38" s="8"/>
      <c r="J38" s="8"/>
      <c r="K38" s="8"/>
      <c r="L38" s="8"/>
      <c r="M38" s="8"/>
      <c r="N38" s="8"/>
      <c r="O38" s="8"/>
      <c r="P38" s="8"/>
      <c r="Q38" s="8"/>
      <c r="R38" s="8"/>
      <c r="S38" s="8"/>
      <c r="T38" s="8"/>
      <c r="U38" s="8"/>
      <c r="V38" s="8"/>
      <c r="W38" s="8"/>
      <c r="X38" s="8"/>
      <c r="Y38" s="8"/>
      <c r="Z38" s="8"/>
      <c r="AA38" s="8"/>
      <c r="AB38" s="8"/>
      <c r="AC38" s="8"/>
      <c r="AD38" s="8"/>
      <c r="AE38" s="8"/>
      <c r="AF38" s="8"/>
    </row>
    <row r="39" ht="12.75" customHeight="1">
      <c r="A39" s="7">
        <v>38.0</v>
      </c>
      <c r="B39" s="8">
        <v>2681.0</v>
      </c>
      <c r="C39" s="8">
        <v>5496.0</v>
      </c>
      <c r="D39" s="8">
        <v>8451.0</v>
      </c>
      <c r="E39" s="8">
        <v>11554.0</v>
      </c>
      <c r="F39" s="8">
        <v>14812.0</v>
      </c>
      <c r="G39" s="8"/>
      <c r="H39" s="8"/>
      <c r="I39" s="8"/>
      <c r="J39" s="8"/>
      <c r="K39" s="8"/>
      <c r="L39" s="8"/>
      <c r="M39" s="8"/>
      <c r="N39" s="8"/>
      <c r="O39" s="8"/>
      <c r="P39" s="8"/>
      <c r="Q39" s="8"/>
      <c r="R39" s="8"/>
      <c r="S39" s="8"/>
      <c r="T39" s="8"/>
      <c r="U39" s="8"/>
      <c r="V39" s="8"/>
      <c r="W39" s="8"/>
      <c r="X39" s="8"/>
      <c r="Y39" s="8"/>
      <c r="Z39" s="8"/>
      <c r="AA39" s="8"/>
      <c r="AB39" s="8"/>
      <c r="AC39" s="8"/>
      <c r="AD39" s="8"/>
      <c r="AE39" s="8"/>
      <c r="AF39" s="8"/>
    </row>
    <row r="40" ht="12.75" customHeight="1">
      <c r="A40" s="7">
        <v>39.0</v>
      </c>
      <c r="B40" s="8">
        <v>2727.0</v>
      </c>
      <c r="C40" s="8">
        <v>5590.0</v>
      </c>
      <c r="D40" s="8">
        <v>8596.0</v>
      </c>
      <c r="E40" s="8">
        <v>11752.0</v>
      </c>
      <c r="F40" s="8">
        <v>15066.0</v>
      </c>
      <c r="G40" s="8"/>
      <c r="H40" s="8"/>
      <c r="I40" s="8"/>
      <c r="J40" s="8"/>
      <c r="K40" s="8"/>
      <c r="L40" s="8"/>
      <c r="M40" s="8"/>
      <c r="N40" s="8"/>
      <c r="O40" s="8"/>
      <c r="P40" s="8"/>
      <c r="Q40" s="8"/>
      <c r="R40" s="8"/>
      <c r="S40" s="8"/>
      <c r="T40" s="8"/>
      <c r="U40" s="8"/>
      <c r="V40" s="8"/>
      <c r="W40" s="8"/>
      <c r="X40" s="8"/>
      <c r="Y40" s="8"/>
      <c r="Z40" s="8"/>
      <c r="AA40" s="8"/>
      <c r="AB40" s="8"/>
      <c r="AC40" s="8"/>
      <c r="AD40" s="8"/>
      <c r="AE40" s="8"/>
      <c r="AF40" s="8"/>
    </row>
    <row r="41" ht="12.75" customHeight="1">
      <c r="A41" s="7">
        <v>40.0</v>
      </c>
      <c r="B41" s="8">
        <v>2772.0</v>
      </c>
      <c r="C41" s="8">
        <v>5682.0</v>
      </c>
      <c r="D41" s="8">
        <v>8738.0</v>
      </c>
      <c r="E41" s="8">
        <v>11946.0</v>
      </c>
      <c r="F41" s="8">
        <v>15315.0</v>
      </c>
      <c r="G41" s="8">
        <v>18852.0</v>
      </c>
      <c r="H41" s="8">
        <v>22566.0</v>
      </c>
      <c r="I41" s="8">
        <v>26466.0</v>
      </c>
      <c r="J41" s="8">
        <v>30561.0</v>
      </c>
      <c r="K41" s="42">
        <v>34861.0</v>
      </c>
      <c r="L41" s="8"/>
      <c r="M41" s="8"/>
      <c r="N41" s="8"/>
      <c r="O41" s="8"/>
      <c r="P41" s="8"/>
      <c r="Q41" s="8"/>
      <c r="R41" s="8"/>
      <c r="S41" s="8"/>
      <c r="T41" s="8"/>
      <c r="U41" s="8"/>
      <c r="V41" s="8"/>
      <c r="W41" s="8"/>
      <c r="X41" s="8"/>
      <c r="Y41" s="8"/>
      <c r="Z41" s="8"/>
      <c r="AA41" s="8"/>
      <c r="AB41" s="8"/>
      <c r="AC41" s="8"/>
      <c r="AD41" s="8"/>
      <c r="AE41" s="8"/>
      <c r="AF41" s="8"/>
    </row>
    <row r="42" ht="12.75" customHeight="1">
      <c r="A42" s="7">
        <v>41.0</v>
      </c>
      <c r="B42" s="8">
        <v>2818.0</v>
      </c>
      <c r="C42" s="8">
        <v>5776.0</v>
      </c>
      <c r="D42" s="8">
        <v>8882.0</v>
      </c>
      <c r="E42" s="8">
        <v>12144.0</v>
      </c>
      <c r="F42" s="8">
        <v>15569.0</v>
      </c>
      <c r="G42" s="8">
        <v>19165.0</v>
      </c>
      <c r="H42" s="8">
        <v>22941.0</v>
      </c>
      <c r="I42" s="8">
        <v>26906.0</v>
      </c>
      <c r="J42" s="8">
        <v>31069.0</v>
      </c>
      <c r="K42" s="42">
        <v>35440.0</v>
      </c>
      <c r="L42" s="8"/>
      <c r="M42" s="8"/>
      <c r="N42" s="8"/>
      <c r="O42" s="8"/>
      <c r="P42" s="8"/>
      <c r="Q42" s="8"/>
      <c r="R42" s="8"/>
      <c r="S42" s="8"/>
      <c r="T42" s="8"/>
      <c r="U42" s="8"/>
      <c r="V42" s="8"/>
      <c r="W42" s="8"/>
      <c r="X42" s="8"/>
      <c r="Y42" s="8"/>
      <c r="Z42" s="8"/>
      <c r="AA42" s="8"/>
      <c r="AB42" s="8"/>
      <c r="AC42" s="8"/>
      <c r="AD42" s="8"/>
      <c r="AE42" s="8"/>
      <c r="AF42" s="8"/>
    </row>
    <row r="43" ht="12.75" customHeight="1">
      <c r="A43" s="7">
        <v>42.0</v>
      </c>
      <c r="B43" s="8">
        <v>2863.0</v>
      </c>
      <c r="C43" s="8">
        <v>5869.0</v>
      </c>
      <c r="D43" s="8">
        <v>9025.0</v>
      </c>
      <c r="E43" s="8">
        <v>12339.0</v>
      </c>
      <c r="F43" s="8">
        <v>15818.0</v>
      </c>
      <c r="G43" s="8"/>
      <c r="H43" s="8"/>
      <c r="I43" s="8"/>
      <c r="J43" s="8"/>
      <c r="K43" s="8"/>
      <c r="L43" s="8"/>
      <c r="M43" s="8"/>
      <c r="N43" s="8"/>
      <c r="O43" s="8"/>
      <c r="P43" s="8"/>
      <c r="Q43" s="8"/>
      <c r="R43" s="8"/>
      <c r="S43" s="8"/>
      <c r="T43" s="8"/>
      <c r="U43" s="8"/>
      <c r="V43" s="8"/>
      <c r="W43" s="8"/>
      <c r="X43" s="8"/>
      <c r="Y43" s="8"/>
      <c r="Z43" s="8"/>
      <c r="AA43" s="8"/>
      <c r="AB43" s="8"/>
      <c r="AC43" s="8"/>
      <c r="AD43" s="8"/>
      <c r="AE43" s="8"/>
      <c r="AF43" s="8"/>
    </row>
    <row r="44" ht="12.75" customHeight="1">
      <c r="A44" s="7">
        <v>43.0</v>
      </c>
      <c r="B44" s="8">
        <v>2909.0</v>
      </c>
      <c r="C44" s="8">
        <v>5963.0</v>
      </c>
      <c r="D44" s="8">
        <v>9170.0</v>
      </c>
      <c r="E44" s="8">
        <v>12537.0</v>
      </c>
      <c r="F44" s="8">
        <v>16072.0</v>
      </c>
      <c r="G44" s="8"/>
      <c r="H44" s="8"/>
      <c r="I44" s="8"/>
      <c r="J44" s="8"/>
      <c r="K44" s="8"/>
      <c r="L44" s="8"/>
      <c r="M44" s="8"/>
      <c r="N44" s="8"/>
      <c r="O44" s="8"/>
      <c r="P44" s="8"/>
      <c r="Q44" s="8"/>
      <c r="R44" s="8"/>
      <c r="S44" s="8"/>
      <c r="T44" s="8"/>
      <c r="U44" s="8"/>
      <c r="V44" s="8"/>
      <c r="W44" s="8"/>
      <c r="X44" s="8"/>
      <c r="Y44" s="8"/>
      <c r="Z44" s="8"/>
      <c r="AA44" s="8"/>
      <c r="AB44" s="8"/>
      <c r="AC44" s="8"/>
      <c r="AD44" s="8"/>
      <c r="AE44" s="8"/>
      <c r="AF44" s="8"/>
    </row>
    <row r="45" ht="12.75" customHeight="1">
      <c r="A45" s="7">
        <v>44.0</v>
      </c>
      <c r="B45" s="8">
        <v>2954.0</v>
      </c>
      <c r="C45" s="8">
        <v>6055.0</v>
      </c>
      <c r="D45" s="8">
        <v>9311.0</v>
      </c>
      <c r="E45" s="8">
        <v>12730.0</v>
      </c>
      <c r="F45" s="8">
        <v>16320.0</v>
      </c>
      <c r="G45" s="8"/>
      <c r="H45" s="8"/>
      <c r="I45" s="8"/>
      <c r="J45" s="8"/>
      <c r="K45" s="8"/>
      <c r="L45" s="8"/>
      <c r="M45" s="8"/>
      <c r="N45" s="8"/>
      <c r="O45" s="8"/>
      <c r="P45" s="8"/>
      <c r="Q45" s="8"/>
      <c r="R45" s="8"/>
      <c r="S45" s="8"/>
      <c r="T45" s="8"/>
      <c r="U45" s="8"/>
      <c r="V45" s="8"/>
      <c r="W45" s="8"/>
      <c r="X45" s="8"/>
      <c r="Y45" s="8"/>
      <c r="Z45" s="8"/>
      <c r="AA45" s="8"/>
      <c r="AB45" s="8"/>
      <c r="AC45" s="8"/>
      <c r="AD45" s="8"/>
      <c r="AE45" s="8"/>
      <c r="AF45" s="8"/>
    </row>
    <row r="46" ht="12.75" customHeight="1">
      <c r="A46" s="7">
        <v>45.0</v>
      </c>
      <c r="B46" s="8">
        <v>3000.0</v>
      </c>
      <c r="C46" s="8">
        <v>6149.0</v>
      </c>
      <c r="D46" s="8">
        <v>9456.0</v>
      </c>
      <c r="E46" s="8">
        <v>12928.0</v>
      </c>
      <c r="F46" s="8">
        <v>16574.0</v>
      </c>
      <c r="G46" s="8"/>
      <c r="H46" s="8"/>
      <c r="I46" s="8"/>
      <c r="J46" s="8"/>
      <c r="K46" s="8"/>
      <c r="L46" s="8"/>
      <c r="M46" s="8"/>
      <c r="N46" s="8"/>
      <c r="O46" s="8"/>
      <c r="P46" s="8"/>
      <c r="Q46" s="8"/>
      <c r="R46" s="8"/>
      <c r="S46" s="8"/>
      <c r="T46" s="8"/>
      <c r="U46" s="8"/>
      <c r="V46" s="8"/>
      <c r="W46" s="8"/>
      <c r="X46" s="8"/>
      <c r="Y46" s="8"/>
      <c r="Z46" s="8"/>
      <c r="AA46" s="8"/>
      <c r="AB46" s="8"/>
      <c r="AC46" s="8"/>
      <c r="AD46" s="8"/>
      <c r="AE46" s="8"/>
      <c r="AF46" s="8"/>
    </row>
    <row r="47" ht="12.75" customHeight="1">
      <c r="A47" s="7">
        <v>46.0</v>
      </c>
      <c r="B47" s="8">
        <v>3196.0</v>
      </c>
      <c r="C47" s="8">
        <v>6551.0</v>
      </c>
      <c r="D47" s="8">
        <v>10074.0</v>
      </c>
      <c r="E47" s="8">
        <v>13773.0</v>
      </c>
      <c r="F47" s="8">
        <v>17657.0</v>
      </c>
      <c r="G47" s="8"/>
      <c r="H47" s="8"/>
      <c r="I47" s="8"/>
      <c r="J47" s="8"/>
      <c r="K47" s="8"/>
      <c r="L47" s="8"/>
      <c r="M47" s="8"/>
      <c r="N47" s="8"/>
      <c r="O47" s="8"/>
      <c r="P47" s="8"/>
      <c r="Q47" s="8"/>
      <c r="R47" s="8"/>
      <c r="S47" s="8"/>
      <c r="T47" s="8"/>
      <c r="U47" s="8"/>
      <c r="V47" s="8"/>
      <c r="W47" s="8"/>
      <c r="X47" s="8"/>
      <c r="Y47" s="8"/>
      <c r="Z47" s="8"/>
      <c r="AA47" s="8"/>
      <c r="AB47" s="8"/>
      <c r="AC47" s="8"/>
      <c r="AD47" s="8"/>
      <c r="AE47" s="8"/>
      <c r="AF47" s="8"/>
    </row>
    <row r="48" ht="12.75" customHeight="1">
      <c r="A48" s="7">
        <v>47.0</v>
      </c>
      <c r="B48" s="8">
        <v>3272.0</v>
      </c>
      <c r="C48" s="8">
        <v>6707.0</v>
      </c>
      <c r="D48" s="8">
        <v>10314.0</v>
      </c>
      <c r="E48" s="8">
        <v>14101.0</v>
      </c>
      <c r="F48" s="8">
        <v>18078.0</v>
      </c>
      <c r="G48" s="8"/>
      <c r="H48" s="8"/>
      <c r="I48" s="8"/>
      <c r="J48" s="8"/>
      <c r="K48" s="8"/>
      <c r="L48" s="8"/>
      <c r="M48" s="8"/>
      <c r="N48" s="8"/>
      <c r="O48" s="8"/>
      <c r="P48" s="8"/>
      <c r="Q48" s="8"/>
      <c r="R48" s="8"/>
      <c r="S48" s="8"/>
      <c r="T48" s="8"/>
      <c r="U48" s="8"/>
      <c r="V48" s="8"/>
      <c r="W48" s="8"/>
      <c r="X48" s="8"/>
      <c r="Y48" s="8"/>
      <c r="Z48" s="8"/>
      <c r="AA48" s="8"/>
      <c r="AB48" s="8"/>
      <c r="AC48" s="8"/>
      <c r="AD48" s="8"/>
      <c r="AE48" s="8"/>
      <c r="AF48" s="8"/>
    </row>
    <row r="49" ht="12.75" customHeight="1">
      <c r="A49" s="7">
        <v>48.0</v>
      </c>
      <c r="B49" s="8">
        <v>3348.0</v>
      </c>
      <c r="C49" s="8">
        <v>6863.0</v>
      </c>
      <c r="D49" s="8">
        <v>10554.0</v>
      </c>
      <c r="E49" s="8">
        <v>14429.0</v>
      </c>
      <c r="F49" s="8">
        <v>18498.0</v>
      </c>
      <c r="G49" s="8"/>
      <c r="H49" s="8"/>
      <c r="I49" s="8"/>
      <c r="J49" s="8"/>
      <c r="K49" s="8"/>
      <c r="L49" s="8"/>
      <c r="M49" s="8"/>
      <c r="N49" s="8"/>
      <c r="O49" s="8"/>
      <c r="P49" s="8"/>
      <c r="Q49" s="8"/>
      <c r="R49" s="8"/>
      <c r="S49" s="8"/>
      <c r="T49" s="8"/>
      <c r="U49" s="8"/>
      <c r="V49" s="8"/>
      <c r="W49" s="8"/>
      <c r="X49" s="8"/>
      <c r="Y49" s="8"/>
      <c r="Z49" s="8"/>
      <c r="AA49" s="8"/>
      <c r="AB49" s="8"/>
      <c r="AC49" s="8"/>
      <c r="AD49" s="8"/>
      <c r="AE49" s="8"/>
      <c r="AF49" s="8"/>
    </row>
    <row r="50" ht="12.75" customHeight="1">
      <c r="A50" s="7">
        <v>49.0</v>
      </c>
      <c r="B50" s="8">
        <v>3424.0</v>
      </c>
      <c r="C50" s="8">
        <v>7019.0</v>
      </c>
      <c r="D50" s="8">
        <v>10793.0</v>
      </c>
      <c r="E50" s="8">
        <v>14756.0</v>
      </c>
      <c r="F50" s="8">
        <v>18917.0</v>
      </c>
      <c r="G50" s="8"/>
      <c r="H50" s="8"/>
      <c r="I50" s="8"/>
      <c r="J50" s="8"/>
      <c r="K50" s="8"/>
      <c r="L50" s="8"/>
      <c r="M50" s="8"/>
      <c r="N50" s="8"/>
      <c r="O50" s="8"/>
      <c r="P50" s="8"/>
      <c r="Q50" s="8"/>
      <c r="R50" s="8"/>
      <c r="S50" s="8"/>
      <c r="T50" s="8"/>
      <c r="U50" s="8"/>
      <c r="V50" s="8"/>
      <c r="W50" s="8"/>
      <c r="X50" s="8"/>
      <c r="Y50" s="8"/>
      <c r="Z50" s="8"/>
      <c r="AA50" s="8"/>
      <c r="AB50" s="8"/>
      <c r="AC50" s="8"/>
      <c r="AD50" s="8"/>
      <c r="AE50" s="8"/>
      <c r="AF50" s="8"/>
    </row>
    <row r="51" ht="12.75" customHeight="1">
      <c r="A51" s="7">
        <v>50.0</v>
      </c>
      <c r="B51" s="8">
        <v>3500.0</v>
      </c>
      <c r="C51" s="8">
        <v>7174.0</v>
      </c>
      <c r="D51" s="8">
        <v>11032.0</v>
      </c>
      <c r="E51" s="8">
        <v>15083.0</v>
      </c>
      <c r="F51" s="8">
        <v>19337.0</v>
      </c>
      <c r="G51" s="8">
        <v>23803.0</v>
      </c>
      <c r="H51" s="8">
        <v>28493.0</v>
      </c>
      <c r="I51" s="8">
        <v>33417.0</v>
      </c>
      <c r="J51" s="8">
        <v>38588.0</v>
      </c>
      <c r="K51" s="42">
        <v>44017.0</v>
      </c>
      <c r="L51" s="59" t="s">
        <v>154</v>
      </c>
      <c r="M51" s="8"/>
      <c r="N51" s="8"/>
      <c r="O51" s="8"/>
      <c r="P51" s="8"/>
      <c r="Q51" s="8"/>
      <c r="R51" s="8"/>
      <c r="S51" s="8"/>
      <c r="T51" s="8"/>
      <c r="U51" s="8"/>
      <c r="V51" s="8"/>
      <c r="W51" s="8"/>
      <c r="X51" s="8"/>
      <c r="Y51" s="8"/>
      <c r="Z51" s="8"/>
      <c r="AA51" s="8"/>
      <c r="AB51" s="8"/>
      <c r="AC51" s="8"/>
      <c r="AD51" s="8"/>
      <c r="AE51" s="8"/>
      <c r="AF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ht="12.75" customHeight="1">
      <c r="A53" s="8"/>
      <c r="B53" s="8"/>
      <c r="C53" s="8"/>
      <c r="D53" s="8"/>
      <c r="E53" s="8"/>
      <c r="F53" s="8"/>
      <c r="G53" s="8"/>
      <c r="H53" s="8"/>
      <c r="I53" s="8"/>
      <c r="J53" s="8"/>
      <c r="K53" s="8"/>
      <c r="L53" s="8"/>
      <c r="M53" s="8"/>
      <c r="N53" s="8"/>
      <c r="O53" s="8"/>
      <c r="Q53" s="8"/>
      <c r="R53" s="8"/>
      <c r="S53" s="8"/>
      <c r="T53" s="8"/>
      <c r="U53" s="8"/>
      <c r="V53" s="8"/>
      <c r="W53" s="8"/>
      <c r="X53" s="8"/>
      <c r="Y53" s="8"/>
      <c r="Z53" s="8"/>
      <c r="AA53" s="8"/>
      <c r="AB53" s="8"/>
      <c r="AC53" s="8"/>
      <c r="AD53" s="8"/>
      <c r="AE53" s="8"/>
      <c r="AF53" s="8"/>
    </row>
    <row r="54" ht="12.75" customHeight="1">
      <c r="A54" s="1" t="s">
        <v>0</v>
      </c>
      <c r="B54" s="2" t="s">
        <v>155</v>
      </c>
      <c r="C54" s="60"/>
      <c r="D54" s="60"/>
      <c r="E54" s="60"/>
      <c r="F54" s="60"/>
      <c r="G54" s="8"/>
      <c r="H54" s="8"/>
      <c r="I54" s="8"/>
      <c r="J54" s="8"/>
      <c r="K54" s="8"/>
      <c r="L54" s="8"/>
      <c r="M54" s="8"/>
      <c r="N54" s="8"/>
      <c r="O54" s="8"/>
      <c r="Q54" s="8"/>
      <c r="T54" s="8"/>
      <c r="U54" s="8"/>
      <c r="V54" s="8"/>
      <c r="W54" s="8"/>
      <c r="X54" s="8"/>
      <c r="Y54" s="8"/>
      <c r="AA54" s="8"/>
      <c r="AB54" s="63" t="s">
        <v>156</v>
      </c>
      <c r="AC54" s="8"/>
      <c r="AD54" s="8"/>
      <c r="AE54" s="8"/>
      <c r="AF54" s="8"/>
    </row>
    <row r="55" ht="12.75" customHeight="1">
      <c r="A55" s="7">
        <v>1.0</v>
      </c>
      <c r="B55" s="8">
        <v>250.0</v>
      </c>
      <c r="C55" s="8">
        <f t="shared" ref="C55:F55" si="1">C2-B2</f>
        <v>262</v>
      </c>
      <c r="D55" s="8">
        <f t="shared" si="1"/>
        <v>275</v>
      </c>
      <c r="E55" s="8">
        <f t="shared" si="1"/>
        <v>289</v>
      </c>
      <c r="F55" s="8">
        <f t="shared" si="1"/>
        <v>303</v>
      </c>
      <c r="G55" s="8"/>
      <c r="H55" s="8"/>
      <c r="I55" s="8"/>
      <c r="J55" s="8"/>
      <c r="K55" s="64" t="s">
        <v>160</v>
      </c>
      <c r="L55" s="65"/>
      <c r="M55" s="65"/>
      <c r="N55" s="66" t="s">
        <v>161</v>
      </c>
      <c r="O55" s="67" t="s">
        <v>162</v>
      </c>
      <c r="P55" s="67"/>
      <c r="Q55" s="8"/>
      <c r="R55" s="63" t="s">
        <v>163</v>
      </c>
      <c r="S55" s="68" t="s">
        <v>164</v>
      </c>
      <c r="T55" s="8"/>
      <c r="U55" s="8"/>
      <c r="V55" s="8"/>
      <c r="W55" s="8"/>
      <c r="X55" s="8"/>
      <c r="Y55" s="8"/>
      <c r="Z55" s="8"/>
      <c r="AA55" s="8"/>
      <c r="AB55" s="8"/>
      <c r="AC55" s="8"/>
      <c r="AD55" s="8"/>
      <c r="AE55" s="8"/>
      <c r="AF55" s="8"/>
    </row>
    <row r="56" ht="12.75" customHeight="1">
      <c r="A56" s="7">
        <v>2.0</v>
      </c>
      <c r="B56" s="8">
        <v>270.0</v>
      </c>
      <c r="C56" s="8">
        <f t="shared" ref="C56:F56" si="2">C3-B3</f>
        <v>283</v>
      </c>
      <c r="D56" s="8">
        <f t="shared" si="2"/>
        <v>297</v>
      </c>
      <c r="E56" s="8">
        <f t="shared" si="2"/>
        <v>312</v>
      </c>
      <c r="F56" s="8">
        <f t="shared" si="2"/>
        <v>328</v>
      </c>
      <c r="G56" s="8"/>
      <c r="H56" s="8"/>
      <c r="I56" s="8"/>
      <c r="J56" s="8"/>
      <c r="K56" s="65"/>
      <c r="L56" s="65"/>
      <c r="M56" s="65"/>
      <c r="N56" s="69">
        <v>1.0</v>
      </c>
      <c r="O56" s="24">
        <v>3500.0</v>
      </c>
      <c r="P56" s="24">
        <v>3500.0</v>
      </c>
      <c r="Q56" s="8"/>
      <c r="R56" s="70">
        <f t="shared" ref="R56:R103" si="4">3500 * (1 - 1.05^N56)/(1-1.05)</f>
        <v>3500</v>
      </c>
      <c r="S56" s="8"/>
      <c r="T56" s="8"/>
      <c r="U56" s="8"/>
      <c r="V56" s="8"/>
      <c r="W56" s="8"/>
      <c r="X56" s="8"/>
      <c r="Y56" s="8"/>
      <c r="Z56" s="8"/>
      <c r="AA56" s="8"/>
      <c r="AB56" s="8"/>
      <c r="AC56" s="8"/>
      <c r="AD56" s="8"/>
      <c r="AE56" s="8"/>
      <c r="AF56" s="8"/>
    </row>
    <row r="57" ht="12.75" customHeight="1">
      <c r="A57" s="7">
        <v>3.0</v>
      </c>
      <c r="B57" s="8">
        <v>291.0</v>
      </c>
      <c r="C57" s="8">
        <f t="shared" ref="C57:F57" si="3">C4-B4</f>
        <v>305</v>
      </c>
      <c r="D57" s="8">
        <f t="shared" si="3"/>
        <v>320</v>
      </c>
      <c r="E57" s="8">
        <f t="shared" si="3"/>
        <v>336</v>
      </c>
      <c r="F57" s="8">
        <f t="shared" si="3"/>
        <v>353</v>
      </c>
      <c r="G57" s="8"/>
      <c r="H57" s="8"/>
      <c r="I57" s="8"/>
      <c r="J57" s="8"/>
      <c r="K57" s="65"/>
      <c r="L57" s="65"/>
      <c r="M57" s="65"/>
      <c r="N57" s="69">
        <v>2.0</v>
      </c>
      <c r="O57" s="24">
        <v>3674.0</v>
      </c>
      <c r="P57" s="24">
        <v>7174.0</v>
      </c>
      <c r="Q57" s="8"/>
      <c r="R57" s="70">
        <f t="shared" si="4"/>
        <v>7175</v>
      </c>
      <c r="S57" s="8"/>
      <c r="T57" s="8"/>
      <c r="U57" s="8"/>
      <c r="V57" s="8"/>
      <c r="W57" s="8"/>
      <c r="X57" s="8"/>
      <c r="Y57" s="8"/>
      <c r="Z57" s="8"/>
      <c r="AA57" s="8"/>
      <c r="AB57" s="8"/>
      <c r="AC57" s="8"/>
      <c r="AD57" s="8"/>
      <c r="AE57" s="8"/>
      <c r="AF57" s="8"/>
    </row>
    <row r="58" ht="12.75" customHeight="1">
      <c r="A58" s="7">
        <v>4.0</v>
      </c>
      <c r="B58" s="8">
        <v>312.0</v>
      </c>
      <c r="C58" s="8">
        <f t="shared" ref="C58:F58" si="5">C5-B5</f>
        <v>327</v>
      </c>
      <c r="D58" s="8">
        <f t="shared" si="5"/>
        <v>343</v>
      </c>
      <c r="E58" s="8">
        <f t="shared" si="5"/>
        <v>361</v>
      </c>
      <c r="F58" s="8">
        <f t="shared" si="5"/>
        <v>379</v>
      </c>
      <c r="G58" s="8"/>
      <c r="H58" s="8"/>
      <c r="I58" s="8"/>
      <c r="J58" s="8"/>
      <c r="K58" s="65"/>
      <c r="L58" s="65"/>
      <c r="M58" s="65"/>
      <c r="N58" s="69">
        <v>3.0</v>
      </c>
      <c r="O58" s="24">
        <v>3858.0</v>
      </c>
      <c r="P58" s="24">
        <v>11032.0</v>
      </c>
      <c r="Q58" s="8"/>
      <c r="R58" s="70">
        <f t="shared" si="4"/>
        <v>11033.75</v>
      </c>
      <c r="S58" s="8"/>
      <c r="T58" s="8"/>
      <c r="U58" s="8"/>
      <c r="V58" s="8"/>
      <c r="W58" s="8"/>
      <c r="X58" s="8"/>
      <c r="Y58" s="8"/>
      <c r="Z58" s="8"/>
      <c r="AA58" s="8"/>
      <c r="AB58" s="8"/>
      <c r="AC58" s="8"/>
      <c r="AD58" s="8"/>
      <c r="AE58" s="8"/>
      <c r="AF58" s="8"/>
    </row>
    <row r="59" ht="12.75" customHeight="1">
      <c r="A59" s="7">
        <v>5.0</v>
      </c>
      <c r="B59" s="8">
        <v>333.0</v>
      </c>
      <c r="C59" s="8">
        <f t="shared" ref="C59:F59" si="6">C6-B6</f>
        <v>349</v>
      </c>
      <c r="D59" s="8">
        <f t="shared" si="6"/>
        <v>367</v>
      </c>
      <c r="E59" s="8">
        <f t="shared" si="6"/>
        <v>385</v>
      </c>
      <c r="F59" s="8">
        <f t="shared" si="6"/>
        <v>404</v>
      </c>
      <c r="G59" s="8"/>
      <c r="H59" s="8"/>
      <c r="I59" s="8"/>
      <c r="J59" s="8"/>
      <c r="K59" s="65"/>
      <c r="L59" s="65"/>
      <c r="M59" s="65"/>
      <c r="N59" s="69">
        <v>4.0</v>
      </c>
      <c r="O59" s="24">
        <v>4051.0</v>
      </c>
      <c r="P59" s="24">
        <v>15083.0</v>
      </c>
      <c r="Q59" s="8"/>
      <c r="R59" s="70">
        <f t="shared" si="4"/>
        <v>15085.4375</v>
      </c>
      <c r="S59" s="8"/>
      <c r="T59" s="8"/>
      <c r="U59" s="8"/>
      <c r="V59" s="8"/>
      <c r="W59" s="8"/>
      <c r="X59" s="8"/>
      <c r="Y59" s="8"/>
      <c r="Z59" s="8"/>
      <c r="AA59" s="8"/>
      <c r="AB59" s="8"/>
      <c r="AC59" s="8"/>
      <c r="AD59" s="8"/>
      <c r="AE59" s="8"/>
      <c r="AF59" s="8"/>
    </row>
    <row r="60" ht="12.75" customHeight="1">
      <c r="A60" s="7">
        <v>6.0</v>
      </c>
      <c r="B60" s="8">
        <v>354.0</v>
      </c>
      <c r="C60" s="8">
        <f t="shared" ref="C60:F60" si="7">C7-B7</f>
        <v>371</v>
      </c>
      <c r="D60" s="8">
        <f t="shared" si="7"/>
        <v>390</v>
      </c>
      <c r="E60" s="8">
        <f t="shared" si="7"/>
        <v>409</v>
      </c>
      <c r="F60" s="8">
        <f t="shared" si="7"/>
        <v>430</v>
      </c>
      <c r="G60" s="8"/>
      <c r="H60" s="8"/>
      <c r="I60" s="8"/>
      <c r="J60" s="8"/>
      <c r="K60" s="65"/>
      <c r="L60" s="65"/>
      <c r="M60" s="65"/>
      <c r="N60" s="69">
        <v>5.0</v>
      </c>
      <c r="O60" s="24">
        <v>4254.0</v>
      </c>
      <c r="P60" s="24">
        <v>19337.0</v>
      </c>
      <c r="Q60" s="8"/>
      <c r="R60" s="70">
        <f t="shared" si="4"/>
        <v>19339.70938</v>
      </c>
      <c r="S60" s="8"/>
      <c r="T60" s="8"/>
      <c r="U60" s="8"/>
      <c r="V60" s="8"/>
      <c r="W60" s="8"/>
      <c r="X60" s="8"/>
      <c r="Y60" s="8"/>
      <c r="Z60" s="8"/>
      <c r="AA60" s="8"/>
      <c r="AB60" s="8"/>
      <c r="AC60" s="8"/>
      <c r="AD60" s="8"/>
      <c r="AE60" s="8"/>
      <c r="AF60" s="8"/>
    </row>
    <row r="61" ht="12.75" customHeight="1">
      <c r="A61" s="7">
        <v>7.0</v>
      </c>
      <c r="B61" s="8">
        <v>375.0</v>
      </c>
      <c r="C61" s="8">
        <f t="shared" ref="C61:F61" si="8">C8-B8</f>
        <v>393</v>
      </c>
      <c r="D61" s="8">
        <f t="shared" si="8"/>
        <v>413</v>
      </c>
      <c r="E61" s="8">
        <f t="shared" si="8"/>
        <v>434</v>
      </c>
      <c r="F61" s="8">
        <f t="shared" si="8"/>
        <v>455</v>
      </c>
      <c r="G61" s="8"/>
      <c r="H61" s="8"/>
      <c r="I61" s="8"/>
      <c r="J61" s="8"/>
      <c r="K61" s="65"/>
      <c r="L61" s="65"/>
      <c r="M61" s="65"/>
      <c r="N61" s="69">
        <v>6.0</v>
      </c>
      <c r="O61" s="24">
        <v>4466.0</v>
      </c>
      <c r="P61" s="24">
        <v>23803.0</v>
      </c>
      <c r="Q61" s="8"/>
      <c r="R61" s="70">
        <f t="shared" si="4"/>
        <v>23806.69484</v>
      </c>
      <c r="S61" s="8"/>
      <c r="T61" s="8"/>
      <c r="U61" s="8"/>
      <c r="V61" s="8"/>
      <c r="W61" s="8"/>
      <c r="X61" s="8"/>
      <c r="Y61" s="8"/>
      <c r="Z61" s="8"/>
      <c r="AA61" s="8"/>
      <c r="AB61" s="8"/>
      <c r="AC61" s="8"/>
      <c r="AD61" s="8"/>
      <c r="AE61" s="8"/>
      <c r="AF61" s="8"/>
    </row>
    <row r="62" ht="12.75" customHeight="1">
      <c r="A62" s="7">
        <v>8.0</v>
      </c>
      <c r="B62" s="9">
        <v>395.0</v>
      </c>
      <c r="C62" s="8">
        <f t="shared" ref="C62:F62" si="9">C9-B9</f>
        <v>414</v>
      </c>
      <c r="D62" s="8">
        <f t="shared" si="9"/>
        <v>435</v>
      </c>
      <c r="E62" s="8">
        <f t="shared" si="9"/>
        <v>457</v>
      </c>
      <c r="F62" s="8">
        <f t="shared" si="9"/>
        <v>480</v>
      </c>
      <c r="G62" s="8"/>
      <c r="H62" s="8"/>
      <c r="I62" s="8"/>
      <c r="J62" s="8"/>
      <c r="K62" s="65"/>
      <c r="L62" s="65"/>
      <c r="M62" s="65"/>
      <c r="N62" s="69">
        <v>7.0</v>
      </c>
      <c r="O62" s="24">
        <v>4690.0</v>
      </c>
      <c r="P62" s="24">
        <v>28493.0</v>
      </c>
      <c r="Q62" s="8"/>
      <c r="R62" s="70">
        <f t="shared" si="4"/>
        <v>28497.02959</v>
      </c>
      <c r="S62" s="8"/>
      <c r="T62" s="8"/>
      <c r="U62" s="8"/>
      <c r="V62" s="8"/>
      <c r="W62" s="8"/>
      <c r="X62" s="8"/>
      <c r="Y62" s="8"/>
      <c r="Z62" s="8"/>
      <c r="AA62" s="8"/>
      <c r="AB62" s="8"/>
      <c r="AC62" s="8"/>
      <c r="AD62" s="8"/>
      <c r="AE62" s="8"/>
      <c r="AF62" s="8"/>
    </row>
    <row r="63" ht="12.75" customHeight="1">
      <c r="A63" s="7">
        <v>9.0</v>
      </c>
      <c r="B63" s="9">
        <v>416.0</v>
      </c>
      <c r="C63" s="8">
        <f t="shared" ref="C63:F63" si="10">C10-B10</f>
        <v>436</v>
      </c>
      <c r="D63" s="8">
        <f t="shared" si="10"/>
        <v>458</v>
      </c>
      <c r="E63" s="8">
        <f t="shared" si="10"/>
        <v>481</v>
      </c>
      <c r="F63" s="8">
        <f t="shared" si="10"/>
        <v>505</v>
      </c>
      <c r="G63" s="8"/>
      <c r="H63" s="8"/>
      <c r="I63" s="8"/>
      <c r="J63" s="8"/>
      <c r="K63" s="65"/>
      <c r="L63" s="65"/>
      <c r="M63" s="65"/>
      <c r="N63" s="69">
        <v>8.0</v>
      </c>
      <c r="O63" s="24">
        <v>4924.0</v>
      </c>
      <c r="P63" s="24">
        <v>33417.0</v>
      </c>
      <c r="Q63" s="8"/>
      <c r="R63" s="70">
        <f t="shared" si="4"/>
        <v>33421.88107</v>
      </c>
      <c r="S63" s="8"/>
      <c r="T63" s="8"/>
      <c r="U63" s="8"/>
      <c r="V63" s="8"/>
      <c r="W63" s="8"/>
      <c r="X63" s="8"/>
      <c r="Y63" s="8"/>
      <c r="Z63" s="8"/>
      <c r="AA63" s="8"/>
      <c r="AB63" s="8"/>
      <c r="AC63" s="8"/>
      <c r="AD63" s="8"/>
      <c r="AE63" s="8"/>
      <c r="AF63" s="8"/>
    </row>
    <row r="64" ht="12.75" customHeight="1">
      <c r="A64" s="7">
        <v>10.0</v>
      </c>
      <c r="B64" s="9">
        <v>437.0</v>
      </c>
      <c r="C64" s="8">
        <f t="shared" ref="C64:F64" si="11">C11-B11</f>
        <v>458</v>
      </c>
      <c r="D64" s="8">
        <f t="shared" si="11"/>
        <v>481</v>
      </c>
      <c r="E64" s="8">
        <f t="shared" si="11"/>
        <v>505</v>
      </c>
      <c r="F64" s="8">
        <f t="shared" si="11"/>
        <v>531</v>
      </c>
      <c r="G64" s="8"/>
      <c r="H64" s="8"/>
      <c r="I64" s="8"/>
      <c r="J64" s="8"/>
      <c r="K64" s="65"/>
      <c r="L64" s="65"/>
      <c r="M64" s="65"/>
      <c r="N64" s="69">
        <v>9.0</v>
      </c>
      <c r="O64" s="24">
        <v>5171.0</v>
      </c>
      <c r="P64" s="24">
        <v>38588.0</v>
      </c>
      <c r="Q64" s="8"/>
      <c r="R64" s="70">
        <f t="shared" si="4"/>
        <v>38592.97512</v>
      </c>
      <c r="S64" s="8"/>
      <c r="T64" s="8"/>
      <c r="U64" s="8"/>
      <c r="V64" s="8"/>
      <c r="W64" s="8"/>
      <c r="X64" s="8"/>
      <c r="Y64" s="8"/>
      <c r="Z64" s="8"/>
      <c r="AA64" s="8"/>
      <c r="AB64" s="8"/>
      <c r="AC64" s="8"/>
      <c r="AD64" s="8"/>
      <c r="AE64" s="8"/>
      <c r="AF64" s="8"/>
    </row>
    <row r="65" ht="12.75" customHeight="1">
      <c r="A65" s="7">
        <v>11.0</v>
      </c>
      <c r="B65" s="8">
        <v>458.0</v>
      </c>
      <c r="C65" s="8">
        <f t="shared" ref="C65:F65" si="12">C12-B12</f>
        <v>480</v>
      </c>
      <c r="D65" s="8">
        <f t="shared" si="12"/>
        <v>504</v>
      </c>
      <c r="E65" s="8">
        <f t="shared" si="12"/>
        <v>530</v>
      </c>
      <c r="F65" s="8">
        <f t="shared" si="12"/>
        <v>556</v>
      </c>
      <c r="G65" s="8"/>
      <c r="H65" s="8"/>
      <c r="I65" s="8"/>
      <c r="J65" s="8"/>
      <c r="K65" s="65"/>
      <c r="L65" s="65"/>
      <c r="M65" s="65"/>
      <c r="N65" s="69">
        <v>10.0</v>
      </c>
      <c r="O65" s="72">
        <v>5429.0</v>
      </c>
      <c r="P65" s="72">
        <v>44017.0</v>
      </c>
      <c r="Q65" s="73" t="s">
        <v>165</v>
      </c>
      <c r="R65" s="70">
        <f t="shared" si="4"/>
        <v>44022.62387</v>
      </c>
      <c r="S65" s="8"/>
      <c r="T65" s="8"/>
      <c r="U65" s="8"/>
      <c r="V65" s="8"/>
      <c r="W65" s="8"/>
      <c r="X65" s="8"/>
      <c r="Y65" s="8"/>
      <c r="Z65" s="8"/>
      <c r="AA65" s="8"/>
      <c r="AB65" s="8"/>
      <c r="AC65" s="8"/>
      <c r="AD65" s="8"/>
      <c r="AE65" s="8"/>
      <c r="AF65" s="8"/>
    </row>
    <row r="66" ht="12.75" customHeight="1">
      <c r="A66" s="7">
        <v>12.0</v>
      </c>
      <c r="B66" s="8">
        <v>479.0</v>
      </c>
      <c r="C66" s="8">
        <f t="shared" ref="C66:F66" si="13">C13-B13</f>
        <v>502</v>
      </c>
      <c r="D66" s="8">
        <f t="shared" si="13"/>
        <v>528</v>
      </c>
      <c r="E66" s="8">
        <f t="shared" si="13"/>
        <v>554</v>
      </c>
      <c r="F66" s="8">
        <f t="shared" si="13"/>
        <v>582</v>
      </c>
      <c r="G66" s="8"/>
      <c r="H66" s="8"/>
      <c r="I66" s="8"/>
      <c r="J66" s="8"/>
      <c r="K66" s="65"/>
      <c r="L66" s="65"/>
      <c r="M66" s="65"/>
      <c r="N66" s="69">
        <v>11.0</v>
      </c>
      <c r="O66" s="24">
        <v>5701.0</v>
      </c>
      <c r="P66" s="24">
        <v>49718.0</v>
      </c>
      <c r="Q66" s="8"/>
      <c r="R66" s="70">
        <f t="shared" si="4"/>
        <v>49723.75507</v>
      </c>
      <c r="S66" s="8"/>
      <c r="T66" s="8"/>
      <c r="U66" s="8"/>
      <c r="V66" s="8"/>
      <c r="W66" s="8"/>
      <c r="X66" s="8"/>
      <c r="Y66" s="8"/>
      <c r="Z66" s="8"/>
      <c r="AA66" s="8"/>
      <c r="AB66" s="8"/>
      <c r="AC66" s="8"/>
      <c r="AD66" s="8"/>
      <c r="AE66" s="8"/>
      <c r="AF66" s="8"/>
    </row>
    <row r="67" ht="12.75" customHeight="1">
      <c r="A67" s="7">
        <v>13.0</v>
      </c>
      <c r="B67" s="8">
        <v>500.0</v>
      </c>
      <c r="C67" s="8">
        <f t="shared" ref="C67:F67" si="14">C14-B14</f>
        <v>525</v>
      </c>
      <c r="D67" s="8">
        <f t="shared" si="14"/>
        <v>551</v>
      </c>
      <c r="E67" s="8">
        <f t="shared" si="14"/>
        <v>578</v>
      </c>
      <c r="F67" s="8">
        <f t="shared" si="14"/>
        <v>607</v>
      </c>
      <c r="G67" s="8"/>
      <c r="H67" s="8"/>
      <c r="I67" s="8"/>
      <c r="J67" s="8"/>
      <c r="K67" s="65"/>
      <c r="L67" s="65"/>
      <c r="M67" s="65"/>
      <c r="N67" s="69">
        <v>12.0</v>
      </c>
      <c r="O67" s="24">
        <v>5986.0</v>
      </c>
      <c r="P67" s="24">
        <v>55704.0</v>
      </c>
      <c r="Q67" s="8"/>
      <c r="R67" s="70">
        <f t="shared" si="4"/>
        <v>55709.94282</v>
      </c>
      <c r="S67" s="8"/>
      <c r="T67" s="8"/>
      <c r="U67" s="8"/>
      <c r="V67" s="8"/>
      <c r="W67" s="8"/>
      <c r="X67" s="8"/>
      <c r="Y67" s="8"/>
      <c r="Z67" s="8"/>
      <c r="AA67" s="8"/>
      <c r="AB67" s="8"/>
      <c r="AC67" s="8"/>
      <c r="AD67" s="8"/>
      <c r="AE67" s="8"/>
      <c r="AF67" s="8"/>
    </row>
    <row r="68" ht="12.75" customHeight="1">
      <c r="A68" s="7">
        <v>14.0</v>
      </c>
      <c r="B68" s="8">
        <v>550.0</v>
      </c>
      <c r="C68" s="8">
        <f t="shared" ref="C68:F68" si="15">C15-B15</f>
        <v>577</v>
      </c>
      <c r="D68" s="8">
        <f t="shared" si="15"/>
        <v>606</v>
      </c>
      <c r="E68" s="8">
        <f t="shared" si="15"/>
        <v>636</v>
      </c>
      <c r="F68" s="8">
        <f t="shared" si="15"/>
        <v>668</v>
      </c>
      <c r="G68" s="8"/>
      <c r="H68" s="8"/>
      <c r="I68" s="8"/>
      <c r="J68" s="8"/>
      <c r="K68" s="65"/>
      <c r="L68" s="65"/>
      <c r="M68" s="65"/>
      <c r="N68" s="69">
        <v>13.0</v>
      </c>
      <c r="O68" s="24">
        <v>6285.0</v>
      </c>
      <c r="P68" s="24">
        <v>61989.0</v>
      </c>
      <c r="Q68" s="8"/>
      <c r="R68" s="70">
        <f t="shared" si="4"/>
        <v>61995.43996</v>
      </c>
      <c r="S68" s="8"/>
      <c r="T68" s="8"/>
      <c r="U68" s="8"/>
      <c r="V68" s="8"/>
      <c r="W68" s="8"/>
      <c r="X68" s="8"/>
      <c r="Y68" s="8"/>
      <c r="Z68" s="8"/>
      <c r="AA68" s="8"/>
      <c r="AB68" s="8"/>
      <c r="AC68" s="8"/>
      <c r="AD68" s="8"/>
      <c r="AE68" s="8"/>
      <c r="AF68" s="8"/>
    </row>
    <row r="69" ht="12.75" customHeight="1">
      <c r="A69" s="7">
        <v>15.0</v>
      </c>
      <c r="B69" s="8">
        <v>600.0</v>
      </c>
      <c r="C69" s="8">
        <f t="shared" ref="C69:F69" si="16">C16-B16</f>
        <v>630</v>
      </c>
      <c r="D69" s="8">
        <f t="shared" si="16"/>
        <v>661</v>
      </c>
      <c r="E69" s="8">
        <f t="shared" si="16"/>
        <v>694</v>
      </c>
      <c r="F69" s="8">
        <f t="shared" si="16"/>
        <v>729</v>
      </c>
      <c r="G69" s="8"/>
      <c r="H69" s="8"/>
      <c r="I69" s="8"/>
      <c r="J69" s="8"/>
      <c r="K69" s="65"/>
      <c r="L69" s="65"/>
      <c r="M69" s="65"/>
      <c r="N69" s="69">
        <v>14.0</v>
      </c>
      <c r="O69" s="24">
        <v>6599.0</v>
      </c>
      <c r="P69" s="24">
        <v>68588.0</v>
      </c>
      <c r="Q69" s="8"/>
      <c r="R69" s="70">
        <f t="shared" si="4"/>
        <v>68595.21196</v>
      </c>
      <c r="S69" s="8"/>
      <c r="T69" s="8"/>
      <c r="U69" s="8"/>
      <c r="V69" s="8"/>
      <c r="W69" s="8"/>
      <c r="X69" s="8"/>
      <c r="Y69" s="8"/>
      <c r="Z69" s="8"/>
      <c r="AA69" s="8"/>
      <c r="AB69" s="8"/>
      <c r="AC69" s="8"/>
      <c r="AD69" s="8"/>
      <c r="AE69" s="8"/>
      <c r="AF69" s="8"/>
    </row>
    <row r="70" ht="12.75" customHeight="1">
      <c r="A70" s="7">
        <v>16.0</v>
      </c>
      <c r="B70" s="8">
        <v>650.0</v>
      </c>
      <c r="C70" s="8">
        <f t="shared" ref="C70:F70" si="17">C17-B17</f>
        <v>682</v>
      </c>
      <c r="D70" s="8">
        <f t="shared" si="17"/>
        <v>716</v>
      </c>
      <c r="E70" s="8">
        <f t="shared" si="17"/>
        <v>752</v>
      </c>
      <c r="F70" s="8">
        <f t="shared" si="17"/>
        <v>790</v>
      </c>
      <c r="G70" s="8"/>
      <c r="H70" s="8"/>
      <c r="I70" s="8"/>
      <c r="J70" s="8"/>
      <c r="K70" s="65"/>
      <c r="L70" s="65"/>
      <c r="M70" s="65"/>
      <c r="N70" s="69">
        <v>15.0</v>
      </c>
      <c r="O70" s="24">
        <v>6929.0</v>
      </c>
      <c r="P70" s="24">
        <v>75517.0</v>
      </c>
      <c r="Q70" s="8"/>
      <c r="R70" s="70">
        <f t="shared" si="4"/>
        <v>75524.97256</v>
      </c>
      <c r="S70" s="8"/>
      <c r="T70" s="8"/>
      <c r="U70" s="8"/>
      <c r="V70" s="8"/>
      <c r="W70" s="8"/>
      <c r="X70" s="8"/>
      <c r="Y70" s="8"/>
      <c r="Z70" s="8"/>
      <c r="AA70" s="8"/>
      <c r="AB70" s="8"/>
      <c r="AC70" s="8"/>
      <c r="AD70" s="8"/>
      <c r="AE70" s="8"/>
      <c r="AF70" s="8"/>
    </row>
    <row r="71" ht="12.75" customHeight="1">
      <c r="A71" s="7">
        <v>17.0</v>
      </c>
      <c r="B71" s="8">
        <v>700.0</v>
      </c>
      <c r="C71" s="8">
        <f t="shared" ref="C71:F71" si="18">C18-B18</f>
        <v>734</v>
      </c>
      <c r="D71" s="8">
        <f t="shared" si="18"/>
        <v>771</v>
      </c>
      <c r="E71" s="8">
        <f t="shared" si="18"/>
        <v>810</v>
      </c>
      <c r="F71" s="8">
        <f t="shared" si="18"/>
        <v>850</v>
      </c>
      <c r="G71" s="8"/>
      <c r="H71" s="8"/>
      <c r="I71" s="8"/>
      <c r="J71" s="8"/>
      <c r="K71" s="65"/>
      <c r="L71" s="65"/>
      <c r="M71" s="65"/>
      <c r="N71" s="69">
        <v>16.0</v>
      </c>
      <c r="O71" s="24">
        <v>7276.0</v>
      </c>
      <c r="P71" s="24">
        <v>82793.0</v>
      </c>
      <c r="Q71" s="8"/>
      <c r="R71" s="70">
        <f t="shared" si="4"/>
        <v>82801.22119</v>
      </c>
      <c r="S71" s="8"/>
      <c r="T71" s="8"/>
      <c r="U71" s="8"/>
      <c r="V71" s="8"/>
      <c r="W71" s="8"/>
      <c r="X71" s="8"/>
      <c r="Y71" s="8"/>
      <c r="Z71" s="8"/>
      <c r="AA71" s="8"/>
      <c r="AB71" s="8"/>
      <c r="AC71" s="8"/>
      <c r="AD71" s="8"/>
      <c r="AE71" s="8"/>
      <c r="AF71" s="8"/>
    </row>
    <row r="72" ht="12.75" customHeight="1">
      <c r="A72" s="7">
        <v>18.0</v>
      </c>
      <c r="B72" s="8">
        <v>750.0</v>
      </c>
      <c r="C72" s="8">
        <f t="shared" ref="C72:F72" si="19">C19-B19</f>
        <v>787</v>
      </c>
      <c r="D72" s="8">
        <f t="shared" si="19"/>
        <v>826</v>
      </c>
      <c r="E72" s="8">
        <f t="shared" si="19"/>
        <v>868</v>
      </c>
      <c r="F72" s="8">
        <f t="shared" si="19"/>
        <v>911</v>
      </c>
      <c r="G72" s="8"/>
      <c r="H72" s="8"/>
      <c r="I72" s="8"/>
      <c r="J72" s="8"/>
      <c r="K72" s="65"/>
      <c r="L72" s="65"/>
      <c r="M72" s="65"/>
      <c r="N72" s="69">
        <v>17.0</v>
      </c>
      <c r="O72" s="24">
        <v>7640.0</v>
      </c>
      <c r="P72" s="24">
        <v>90433.0</v>
      </c>
      <c r="Q72" s="8"/>
      <c r="R72" s="70">
        <f t="shared" si="4"/>
        <v>90441.28225</v>
      </c>
      <c r="S72" s="8"/>
      <c r="T72" s="8"/>
      <c r="U72" s="8"/>
      <c r="V72" s="8"/>
      <c r="W72" s="8"/>
      <c r="X72" s="8"/>
      <c r="Y72" s="8"/>
      <c r="Z72" s="8"/>
      <c r="AA72" s="8"/>
      <c r="AB72" s="8"/>
      <c r="AC72" s="8"/>
      <c r="AD72" s="8"/>
      <c r="AE72" s="8"/>
      <c r="AF72" s="8"/>
    </row>
    <row r="73" ht="12.75" customHeight="1">
      <c r="A73" s="7">
        <v>19.0</v>
      </c>
      <c r="B73" s="8">
        <v>800.0</v>
      </c>
      <c r="C73" s="8">
        <f t="shared" ref="C73:F73" si="20">C20-B20</f>
        <v>839</v>
      </c>
      <c r="D73" s="8">
        <f t="shared" si="20"/>
        <v>881</v>
      </c>
      <c r="E73" s="8">
        <f t="shared" si="20"/>
        <v>926</v>
      </c>
      <c r="F73" s="8">
        <f t="shared" si="20"/>
        <v>972</v>
      </c>
      <c r="G73" s="8"/>
      <c r="H73" s="8"/>
      <c r="I73" s="8"/>
      <c r="J73" s="8"/>
      <c r="K73" s="65"/>
      <c r="L73" s="65"/>
      <c r="M73" s="65"/>
      <c r="N73" s="69">
        <v>18.0</v>
      </c>
      <c r="O73" s="24">
        <v>8022.0</v>
      </c>
      <c r="P73" s="24">
        <v>98455.0</v>
      </c>
      <c r="Q73" s="8"/>
      <c r="R73" s="70">
        <f t="shared" si="4"/>
        <v>98463.34636</v>
      </c>
      <c r="S73" s="8"/>
      <c r="T73" s="8"/>
      <c r="U73" s="8"/>
      <c r="V73" s="8"/>
      <c r="W73" s="8"/>
      <c r="X73" s="8"/>
      <c r="Y73" s="8"/>
      <c r="Z73" s="8"/>
      <c r="AA73" s="8"/>
      <c r="AB73" s="8"/>
      <c r="AC73" s="8"/>
      <c r="AD73" s="8"/>
      <c r="AE73" s="8"/>
      <c r="AF73" s="8"/>
    </row>
    <row r="74" ht="12.75" customHeight="1">
      <c r="A74" s="7">
        <v>20.0</v>
      </c>
      <c r="B74" s="8">
        <v>850.0</v>
      </c>
      <c r="C74" s="8">
        <f t="shared" ref="C74:F74" si="21">C21-B21</f>
        <v>892</v>
      </c>
      <c r="D74" s="8">
        <f t="shared" si="21"/>
        <v>937</v>
      </c>
      <c r="E74" s="8">
        <f t="shared" si="21"/>
        <v>983</v>
      </c>
      <c r="F74" s="8">
        <f t="shared" si="21"/>
        <v>1033</v>
      </c>
      <c r="G74" s="8"/>
      <c r="H74" s="8"/>
      <c r="I74" s="8"/>
      <c r="J74" s="8"/>
      <c r="K74" s="65"/>
      <c r="L74" s="65"/>
      <c r="M74" s="65"/>
      <c r="N74" s="69">
        <v>19.0</v>
      </c>
      <c r="O74" s="24">
        <v>8423.0</v>
      </c>
      <c r="P74" s="24">
        <v>106878.0</v>
      </c>
      <c r="Q74" s="8"/>
      <c r="R74" s="70">
        <f t="shared" si="4"/>
        <v>106886.5137</v>
      </c>
      <c r="S74" s="8"/>
      <c r="T74" s="8"/>
      <c r="U74" s="8"/>
      <c r="V74" s="8"/>
      <c r="W74" s="8"/>
      <c r="X74" s="8"/>
      <c r="Y74" s="8"/>
      <c r="Z74" s="8"/>
      <c r="AA74" s="8"/>
      <c r="AB74" s="8"/>
      <c r="AC74" s="8"/>
      <c r="AD74" s="8"/>
      <c r="AE74" s="8"/>
      <c r="AF74" s="8"/>
    </row>
    <row r="75" ht="12.75" customHeight="1">
      <c r="A75" s="7">
        <v>21.0</v>
      </c>
      <c r="B75" s="8">
        <v>900.0</v>
      </c>
      <c r="C75" s="8">
        <f t="shared" ref="C75:F75" si="22">C22-B22</f>
        <v>944</v>
      </c>
      <c r="D75" s="8">
        <f t="shared" si="22"/>
        <v>992</v>
      </c>
      <c r="E75" s="8">
        <f t="shared" si="22"/>
        <v>1041</v>
      </c>
      <c r="F75" s="8">
        <f t="shared" si="22"/>
        <v>1093</v>
      </c>
      <c r="G75" s="8"/>
      <c r="H75" s="8"/>
      <c r="I75" s="8"/>
      <c r="J75" s="8"/>
      <c r="K75" s="65"/>
      <c r="L75" s="65"/>
      <c r="M75" s="65"/>
      <c r="N75" s="69">
        <v>20.0</v>
      </c>
      <c r="O75" s="72">
        <v>8844.0</v>
      </c>
      <c r="P75" s="72">
        <v>115722.0</v>
      </c>
      <c r="Q75" s="73" t="s">
        <v>166</v>
      </c>
      <c r="R75" s="70">
        <f t="shared" si="4"/>
        <v>115730.8394</v>
      </c>
      <c r="S75" s="8"/>
      <c r="T75" s="8"/>
      <c r="U75" s="8"/>
      <c r="V75" s="8"/>
      <c r="W75" s="8"/>
      <c r="X75" s="8"/>
      <c r="Y75" s="8"/>
      <c r="Z75" s="8"/>
      <c r="AA75" s="8"/>
      <c r="AB75" s="8"/>
      <c r="AC75" s="8"/>
      <c r="AD75" s="8"/>
      <c r="AE75" s="8"/>
      <c r="AF75" s="8"/>
    </row>
    <row r="76" ht="12.75" customHeight="1">
      <c r="A76" s="7">
        <v>22.0</v>
      </c>
      <c r="B76" s="8">
        <v>950.0</v>
      </c>
      <c r="C76" s="8">
        <f t="shared" ref="C76:F76" si="23">C23-B23</f>
        <v>997</v>
      </c>
      <c r="D76" s="8">
        <f t="shared" si="23"/>
        <v>1047</v>
      </c>
      <c r="E76" s="8">
        <f t="shared" si="23"/>
        <v>1099</v>
      </c>
      <c r="F76" s="8">
        <f t="shared" si="23"/>
        <v>1154</v>
      </c>
      <c r="G76" s="8"/>
      <c r="H76" s="8"/>
      <c r="I76" s="8"/>
      <c r="J76" s="8"/>
      <c r="K76" s="65"/>
      <c r="L76" s="65"/>
      <c r="M76" s="65"/>
      <c r="N76" s="69">
        <v>21.0</v>
      </c>
      <c r="O76" s="24">
        <v>9286.0</v>
      </c>
      <c r="P76" s="24">
        <v>125008.0</v>
      </c>
      <c r="Q76" s="8"/>
      <c r="R76" s="70">
        <f t="shared" si="4"/>
        <v>125017.3813</v>
      </c>
      <c r="S76" s="8"/>
      <c r="T76" s="8"/>
      <c r="U76" s="8"/>
      <c r="V76" s="8"/>
      <c r="W76" s="8"/>
      <c r="X76" s="8"/>
      <c r="Y76" s="8"/>
      <c r="Z76" s="8"/>
      <c r="AA76" s="8"/>
      <c r="AB76" s="8"/>
      <c r="AC76" s="8"/>
      <c r="AD76" s="8"/>
      <c r="AE76" s="8"/>
      <c r="AF76" s="8"/>
    </row>
    <row r="77" ht="12.75" customHeight="1">
      <c r="A77" s="7">
        <v>23.0</v>
      </c>
      <c r="B77" s="8">
        <v>1000.0</v>
      </c>
      <c r="C77" s="8">
        <f t="shared" ref="C77:F77" si="24">C24-B24</f>
        <v>1050</v>
      </c>
      <c r="D77" s="8">
        <f t="shared" si="24"/>
        <v>1102</v>
      </c>
      <c r="E77" s="8">
        <f t="shared" si="24"/>
        <v>1157</v>
      </c>
      <c r="F77" s="8">
        <f t="shared" si="24"/>
        <v>1215</v>
      </c>
      <c r="G77" s="8"/>
      <c r="H77" s="8"/>
      <c r="I77" s="8"/>
      <c r="J77" s="8"/>
      <c r="K77" s="65"/>
      <c r="L77" s="65"/>
      <c r="M77" s="65"/>
      <c r="N77" s="69">
        <v>22.0</v>
      </c>
      <c r="O77" s="24">
        <v>9750.0</v>
      </c>
      <c r="P77" s="24">
        <v>134758.0</v>
      </c>
      <c r="Q77" s="8"/>
      <c r="R77" s="70">
        <f t="shared" si="4"/>
        <v>134768.2504</v>
      </c>
      <c r="S77" s="8"/>
      <c r="T77" s="8"/>
      <c r="U77" s="8"/>
      <c r="V77" s="8"/>
      <c r="W77" s="8"/>
      <c r="X77" s="8"/>
      <c r="Y77" s="8"/>
      <c r="Z77" s="8"/>
      <c r="AA77" s="8"/>
      <c r="AB77" s="8"/>
      <c r="AC77" s="8"/>
      <c r="AD77" s="8"/>
      <c r="AE77" s="8"/>
      <c r="AF77" s="8"/>
    </row>
    <row r="78" ht="12.75" customHeight="1">
      <c r="A78" s="7">
        <v>24.0</v>
      </c>
      <c r="B78" s="8">
        <v>1136.0</v>
      </c>
      <c r="C78" s="8">
        <f t="shared" ref="C78:F78" si="25">C25-B25</f>
        <v>1192</v>
      </c>
      <c r="D78" s="8">
        <f t="shared" si="25"/>
        <v>1252</v>
      </c>
      <c r="E78" s="8">
        <f t="shared" si="25"/>
        <v>1315</v>
      </c>
      <c r="F78" s="8">
        <f t="shared" si="25"/>
        <v>1380</v>
      </c>
      <c r="G78" s="8"/>
      <c r="H78" s="8"/>
      <c r="I78" s="8"/>
      <c r="J78" s="8"/>
      <c r="K78" s="65"/>
      <c r="L78" s="65"/>
      <c r="M78" s="65"/>
      <c r="N78" s="69">
        <v>23.0</v>
      </c>
      <c r="O78" s="24">
        <v>10238.0</v>
      </c>
      <c r="P78" s="24">
        <v>144996.0</v>
      </c>
      <c r="Q78" s="8"/>
      <c r="R78" s="70">
        <f t="shared" si="4"/>
        <v>145006.6629</v>
      </c>
      <c r="S78" s="8"/>
      <c r="T78" s="8"/>
      <c r="U78" s="8"/>
      <c r="V78" s="8"/>
      <c r="W78" s="8"/>
      <c r="X78" s="8"/>
      <c r="Y78" s="8"/>
      <c r="Z78" s="8"/>
      <c r="AA78" s="8"/>
      <c r="AB78" s="8"/>
      <c r="AC78" s="8"/>
      <c r="AD78" s="8"/>
      <c r="AE78" s="8"/>
      <c r="AF78" s="8"/>
    </row>
    <row r="79" ht="12.75" customHeight="1">
      <c r="A79" s="7">
        <v>25.0</v>
      </c>
      <c r="B79" s="8">
        <v>1272.0</v>
      </c>
      <c r="C79" s="8">
        <f t="shared" ref="C79:F79" si="26">C26-B26</f>
        <v>1335</v>
      </c>
      <c r="D79" s="8">
        <f t="shared" si="26"/>
        <v>1402</v>
      </c>
      <c r="E79" s="8">
        <f t="shared" si="26"/>
        <v>1472</v>
      </c>
      <c r="F79" s="8">
        <f t="shared" si="26"/>
        <v>1546</v>
      </c>
      <c r="G79" s="8"/>
      <c r="H79" s="8"/>
      <c r="I79" s="8"/>
      <c r="J79" s="8"/>
      <c r="K79" s="65"/>
      <c r="L79" s="65"/>
      <c r="M79" s="65"/>
      <c r="N79" s="69">
        <v>24.0</v>
      </c>
      <c r="O79" s="24">
        <v>10750.0</v>
      </c>
      <c r="P79" s="24">
        <v>155746.0</v>
      </c>
      <c r="Q79" s="8"/>
      <c r="R79" s="70">
        <f t="shared" si="4"/>
        <v>155756.9961</v>
      </c>
      <c r="S79" s="8"/>
      <c r="T79" s="8"/>
      <c r="U79" s="8"/>
      <c r="V79" s="8"/>
      <c r="W79" s="8"/>
      <c r="X79" s="8"/>
      <c r="Y79" s="8"/>
      <c r="Z79" s="8"/>
      <c r="AA79" s="8"/>
      <c r="AB79" s="8"/>
      <c r="AC79" s="8"/>
      <c r="AD79" s="8"/>
      <c r="AE79" s="8"/>
      <c r="AF79" s="8"/>
    </row>
    <row r="80" ht="12.75" customHeight="1">
      <c r="A80" s="7">
        <v>26.0</v>
      </c>
      <c r="B80" s="8">
        <v>1409.0</v>
      </c>
      <c r="C80" s="8">
        <f t="shared" ref="C80:F80" si="27">C27-B27</f>
        <v>1479</v>
      </c>
      <c r="D80" s="8">
        <f t="shared" si="27"/>
        <v>1553</v>
      </c>
      <c r="E80" s="8">
        <f t="shared" si="27"/>
        <v>1631</v>
      </c>
      <c r="F80" s="8">
        <f t="shared" si="27"/>
        <v>1712</v>
      </c>
      <c r="G80" s="8"/>
      <c r="H80" s="8"/>
      <c r="I80" s="8"/>
      <c r="J80" s="8"/>
      <c r="K80" s="65"/>
      <c r="L80" s="65"/>
      <c r="M80" s="65"/>
      <c r="N80" s="69">
        <v>25.0</v>
      </c>
      <c r="O80" s="24">
        <v>11287.0</v>
      </c>
      <c r="P80" s="24">
        <v>167033.0</v>
      </c>
      <c r="Q80" s="8"/>
      <c r="R80" s="70">
        <f t="shared" si="4"/>
        <v>167044.8459</v>
      </c>
      <c r="S80" s="8"/>
      <c r="T80" s="8"/>
      <c r="U80" s="8"/>
      <c r="V80" s="8"/>
      <c r="W80" s="8"/>
      <c r="X80" s="8"/>
      <c r="Y80" s="8"/>
      <c r="Z80" s="8"/>
      <c r="AA80" s="8"/>
      <c r="AB80" s="8"/>
      <c r="AC80" s="8"/>
      <c r="AD80" s="8"/>
      <c r="AE80" s="8"/>
      <c r="AF80" s="8"/>
    </row>
    <row r="81" ht="12.75" customHeight="1">
      <c r="A81" s="7">
        <v>27.0</v>
      </c>
      <c r="B81" s="8">
        <v>1545.0</v>
      </c>
      <c r="C81" s="8">
        <f t="shared" ref="C81:F81" si="28">C28-B28</f>
        <v>1622</v>
      </c>
      <c r="D81" s="8">
        <f t="shared" si="28"/>
        <v>1703</v>
      </c>
      <c r="E81" s="8">
        <f t="shared" si="28"/>
        <v>1788</v>
      </c>
      <c r="F81" s="8">
        <f t="shared" si="28"/>
        <v>1877</v>
      </c>
      <c r="G81" s="8"/>
      <c r="H81" s="8"/>
      <c r="I81" s="8"/>
      <c r="J81" s="8"/>
      <c r="K81" s="65"/>
      <c r="L81" s="65"/>
      <c r="M81" s="65"/>
      <c r="N81" s="69">
        <v>26.0</v>
      </c>
      <c r="O81" s="24">
        <v>11852.0</v>
      </c>
      <c r="P81" s="24">
        <v>178885.0</v>
      </c>
      <c r="Q81" s="8"/>
      <c r="R81" s="70">
        <f t="shared" si="4"/>
        <v>178897.0882</v>
      </c>
      <c r="S81" s="8"/>
      <c r="T81" s="8"/>
      <c r="U81" s="8"/>
      <c r="V81" s="8"/>
      <c r="W81" s="8"/>
      <c r="X81" s="8"/>
      <c r="Y81" s="8"/>
      <c r="Z81" s="8"/>
      <c r="AA81" s="8"/>
      <c r="AB81" s="8"/>
      <c r="AC81" s="8"/>
      <c r="AD81" s="8"/>
      <c r="AE81" s="8"/>
      <c r="AF81" s="8"/>
    </row>
    <row r="82" ht="12.75" customHeight="1">
      <c r="A82" s="7">
        <v>28.0</v>
      </c>
      <c r="B82" s="8">
        <v>1681.0</v>
      </c>
      <c r="C82" s="8">
        <f t="shared" ref="C82:F82" si="29">C29-B29</f>
        <v>1765</v>
      </c>
      <c r="D82" s="8">
        <f t="shared" si="29"/>
        <v>1853</v>
      </c>
      <c r="E82" s="8">
        <f t="shared" si="29"/>
        <v>1945</v>
      </c>
      <c r="F82" s="8">
        <f t="shared" si="29"/>
        <v>2043</v>
      </c>
      <c r="G82" s="8"/>
      <c r="H82" s="8"/>
      <c r="I82" s="8"/>
      <c r="J82" s="8"/>
      <c r="K82" s="65"/>
      <c r="L82" s="65"/>
      <c r="M82" s="65"/>
      <c r="N82" s="69">
        <v>27.0</v>
      </c>
      <c r="O82" s="24">
        <v>12444.0</v>
      </c>
      <c r="P82" s="24">
        <v>191329.0</v>
      </c>
      <c r="Q82" s="8"/>
      <c r="R82" s="70">
        <f t="shared" si="4"/>
        <v>191341.9426</v>
      </c>
      <c r="S82" s="8"/>
      <c r="T82" s="8"/>
      <c r="U82" s="8"/>
      <c r="V82" s="8"/>
      <c r="W82" s="8"/>
      <c r="X82" s="8"/>
      <c r="Y82" s="8"/>
      <c r="Z82" s="8"/>
      <c r="AA82" s="8"/>
      <c r="AB82" s="8"/>
      <c r="AC82" s="8"/>
      <c r="AD82" s="8"/>
      <c r="AE82" s="8"/>
      <c r="AF82" s="8"/>
    </row>
    <row r="83" ht="12.75" customHeight="1">
      <c r="A83" s="7">
        <v>29.0</v>
      </c>
      <c r="B83" s="8">
        <v>1818.0</v>
      </c>
      <c r="C83" s="8">
        <f t="shared" ref="C83:F83" si="30">C30-B30</f>
        <v>1908</v>
      </c>
      <c r="D83" s="8">
        <f t="shared" si="30"/>
        <v>2004</v>
      </c>
      <c r="E83" s="8">
        <f t="shared" si="30"/>
        <v>2104</v>
      </c>
      <c r="F83" s="8">
        <f t="shared" si="30"/>
        <v>2209</v>
      </c>
      <c r="G83" s="8"/>
      <c r="H83" s="8"/>
      <c r="I83" s="8"/>
      <c r="J83" s="8"/>
      <c r="K83" s="65"/>
      <c r="L83" s="65"/>
      <c r="M83" s="65"/>
      <c r="N83" s="69">
        <v>28.0</v>
      </c>
      <c r="O83" s="24">
        <v>13067.0</v>
      </c>
      <c r="P83" s="24">
        <v>204396.0</v>
      </c>
      <c r="Q83" s="8"/>
      <c r="R83" s="70">
        <f t="shared" si="4"/>
        <v>204409.0397</v>
      </c>
      <c r="S83" s="8"/>
      <c r="T83" s="8"/>
      <c r="U83" s="8"/>
      <c r="V83" s="8"/>
      <c r="W83" s="8"/>
      <c r="X83" s="8"/>
      <c r="Y83" s="8"/>
      <c r="Z83" s="8"/>
      <c r="AA83" s="8"/>
      <c r="AB83" s="8"/>
      <c r="AC83" s="8"/>
      <c r="AD83" s="8"/>
      <c r="AE83" s="8"/>
      <c r="AF83" s="8"/>
    </row>
    <row r="84" ht="12.75" customHeight="1">
      <c r="A84" s="7">
        <v>30.0</v>
      </c>
      <c r="B84" s="8">
        <v>1954.0</v>
      </c>
      <c r="C84" s="8">
        <f t="shared" ref="C84:F84" si="31">C31-B31</f>
        <v>2051</v>
      </c>
      <c r="D84" s="8">
        <f t="shared" si="31"/>
        <v>2154</v>
      </c>
      <c r="E84" s="8">
        <f t="shared" si="31"/>
        <v>2261</v>
      </c>
      <c r="F84" s="8">
        <f t="shared" si="31"/>
        <v>2375</v>
      </c>
      <c r="G84" s="8"/>
      <c r="H84" s="8"/>
      <c r="I84" s="8"/>
      <c r="J84" s="8"/>
      <c r="K84" s="65"/>
      <c r="L84" s="65"/>
      <c r="M84" s="65"/>
      <c r="N84" s="69">
        <v>29.0</v>
      </c>
      <c r="O84" s="24">
        <v>13720.0</v>
      </c>
      <c r="P84" s="24">
        <v>218116.0</v>
      </c>
      <c r="Q84" s="8"/>
      <c r="R84" s="70">
        <f t="shared" si="4"/>
        <v>218129.4917</v>
      </c>
      <c r="S84" s="8"/>
      <c r="T84" s="8"/>
      <c r="U84" s="8"/>
      <c r="V84" s="8"/>
      <c r="W84" s="8"/>
      <c r="X84" s="8"/>
      <c r="Y84" s="8"/>
      <c r="Z84" s="8"/>
      <c r="AA84" s="8"/>
      <c r="AB84" s="8"/>
      <c r="AC84" s="8"/>
      <c r="AD84" s="8"/>
      <c r="AE84" s="8"/>
      <c r="AF84" s="8"/>
    </row>
    <row r="85" ht="12.75" customHeight="1">
      <c r="A85" s="7">
        <v>31.0</v>
      </c>
      <c r="B85" s="8">
        <v>2090.0</v>
      </c>
      <c r="C85" s="8">
        <f t="shared" ref="C85:F85" si="32">C32-B32</f>
        <v>2194</v>
      </c>
      <c r="D85" s="8">
        <f t="shared" si="32"/>
        <v>2304</v>
      </c>
      <c r="E85" s="8">
        <f t="shared" si="32"/>
        <v>2419</v>
      </c>
      <c r="F85" s="8">
        <f t="shared" si="32"/>
        <v>2540</v>
      </c>
      <c r="G85" s="8"/>
      <c r="H85" s="8"/>
      <c r="I85" s="8"/>
      <c r="J85" s="8"/>
      <c r="K85" s="65"/>
      <c r="L85" s="65"/>
      <c r="M85" s="65"/>
      <c r="N85" s="69">
        <v>30.0</v>
      </c>
      <c r="O85" s="72">
        <v>14406.0</v>
      </c>
      <c r="P85" s="72">
        <v>232522.0</v>
      </c>
      <c r="Q85" s="73" t="s">
        <v>167</v>
      </c>
      <c r="R85" s="70">
        <f t="shared" si="4"/>
        <v>232535.9663</v>
      </c>
      <c r="S85" s="8"/>
      <c r="T85" s="8"/>
      <c r="U85" s="8"/>
      <c r="V85" s="8"/>
      <c r="W85" s="8"/>
      <c r="X85" s="8"/>
      <c r="Y85" s="8"/>
      <c r="Z85" s="8"/>
      <c r="AA85" s="8"/>
      <c r="AB85" s="8"/>
      <c r="AC85" s="8"/>
      <c r="AD85" s="8"/>
      <c r="AE85" s="8"/>
      <c r="AF85" s="8"/>
    </row>
    <row r="86" ht="12.75" customHeight="1">
      <c r="A86" s="7">
        <v>32.0</v>
      </c>
      <c r="B86" s="8">
        <v>2227.0</v>
      </c>
      <c r="C86" s="8">
        <f t="shared" ref="C86:F86" si="33">C33-B33</f>
        <v>2338</v>
      </c>
      <c r="D86" s="8">
        <f t="shared" si="33"/>
        <v>2455</v>
      </c>
      <c r="E86" s="8">
        <f t="shared" si="33"/>
        <v>2578</v>
      </c>
      <c r="F86" s="8">
        <f t="shared" si="33"/>
        <v>2706</v>
      </c>
      <c r="G86" s="8"/>
      <c r="H86" s="8"/>
      <c r="I86" s="8"/>
      <c r="J86" s="8"/>
      <c r="K86" s="8"/>
      <c r="L86" s="8"/>
      <c r="M86" s="8"/>
      <c r="N86" s="69">
        <v>31.0</v>
      </c>
      <c r="O86" s="24">
        <v>15126.0</v>
      </c>
      <c r="P86" s="24">
        <v>247648.0</v>
      </c>
      <c r="Q86" s="8"/>
      <c r="R86" s="70">
        <f t="shared" si="4"/>
        <v>247662.7646</v>
      </c>
      <c r="S86" s="8"/>
      <c r="T86" s="8"/>
      <c r="U86" s="8"/>
      <c r="V86" s="8"/>
      <c r="W86" s="8"/>
      <c r="X86" s="8"/>
      <c r="Y86" s="8"/>
      <c r="Z86" s="8"/>
      <c r="AA86" s="8"/>
      <c r="AB86" s="8"/>
      <c r="AC86" s="8"/>
      <c r="AD86" s="8"/>
      <c r="AE86" s="8"/>
      <c r="AF86" s="8"/>
    </row>
    <row r="87" ht="12.75" customHeight="1">
      <c r="A87" s="7">
        <v>33.0</v>
      </c>
      <c r="B87" s="8">
        <v>2363.0</v>
      </c>
      <c r="C87" s="8">
        <f t="shared" ref="C87:F87" si="34">C34-B34</f>
        <v>2481</v>
      </c>
      <c r="D87" s="8">
        <f t="shared" si="34"/>
        <v>2605</v>
      </c>
      <c r="E87" s="8">
        <f t="shared" si="34"/>
        <v>2735</v>
      </c>
      <c r="F87" s="8">
        <f t="shared" si="34"/>
        <v>2872</v>
      </c>
      <c r="G87" s="8"/>
      <c r="H87" s="8"/>
      <c r="I87" s="8"/>
      <c r="J87" s="8"/>
      <c r="K87" s="8"/>
      <c r="L87" s="8"/>
      <c r="M87" s="8"/>
      <c r="N87" s="69">
        <v>32.0</v>
      </c>
      <c r="O87" s="24">
        <v>15883.0</v>
      </c>
      <c r="P87" s="24">
        <v>263531.0</v>
      </c>
      <c r="Q87" s="8"/>
      <c r="R87" s="70">
        <f t="shared" si="4"/>
        <v>263545.9028</v>
      </c>
      <c r="S87" s="8"/>
      <c r="T87" s="8"/>
      <c r="U87" s="8"/>
      <c r="V87" s="8"/>
      <c r="W87" s="8"/>
      <c r="X87" s="8"/>
      <c r="Y87" s="8"/>
      <c r="Z87" s="8"/>
      <c r="AA87" s="8"/>
      <c r="AB87" s="8"/>
      <c r="AC87" s="8"/>
      <c r="AD87" s="8"/>
      <c r="AE87" s="8"/>
      <c r="AF87" s="8"/>
    </row>
    <row r="88" ht="12.75" customHeight="1">
      <c r="A88" s="7">
        <v>34.0</v>
      </c>
      <c r="B88" s="8">
        <v>2500.0</v>
      </c>
      <c r="C88" s="8">
        <f t="shared" ref="C88:F88" si="35">C35-B35</f>
        <v>2625</v>
      </c>
      <c r="D88" s="8">
        <f t="shared" si="35"/>
        <v>2756</v>
      </c>
      <c r="E88" s="8">
        <f t="shared" si="35"/>
        <v>2894</v>
      </c>
      <c r="F88" s="8">
        <f t="shared" si="35"/>
        <v>3038</v>
      </c>
      <c r="G88" s="8"/>
      <c r="H88" s="8"/>
      <c r="I88" s="8"/>
      <c r="J88" s="8"/>
      <c r="K88" s="8"/>
      <c r="L88" s="8"/>
      <c r="M88" s="8"/>
      <c r="N88" s="69">
        <v>33.0</v>
      </c>
      <c r="O88" s="24">
        <v>16677.0</v>
      </c>
      <c r="P88" s="24">
        <v>280208.0</v>
      </c>
      <c r="Q88" s="8"/>
      <c r="R88" s="70">
        <f t="shared" si="4"/>
        <v>280223.1979</v>
      </c>
      <c r="S88" s="8"/>
      <c r="T88" s="8"/>
      <c r="U88" s="8"/>
      <c r="V88" s="8"/>
      <c r="W88" s="8"/>
      <c r="X88" s="8"/>
      <c r="Y88" s="8"/>
      <c r="Z88" s="8"/>
      <c r="AA88" s="8"/>
      <c r="AB88" s="8"/>
      <c r="AC88" s="8"/>
      <c r="AD88" s="8"/>
      <c r="AE88" s="8"/>
      <c r="AF88" s="8"/>
    </row>
    <row r="89" ht="12.75" customHeight="1">
      <c r="A89" s="7">
        <v>35.0</v>
      </c>
      <c r="B89" s="8">
        <v>2545.0</v>
      </c>
      <c r="C89" s="8">
        <f t="shared" ref="C89:F89" si="36">C36-B36</f>
        <v>2672</v>
      </c>
      <c r="D89" s="8">
        <f t="shared" si="36"/>
        <v>2805</v>
      </c>
      <c r="E89" s="8">
        <f t="shared" si="36"/>
        <v>2946</v>
      </c>
      <c r="F89" s="8">
        <f t="shared" si="36"/>
        <v>3093</v>
      </c>
      <c r="G89" s="8"/>
      <c r="H89" s="8"/>
      <c r="I89" s="8"/>
      <c r="J89" s="8"/>
      <c r="K89" s="8"/>
      <c r="L89" s="8"/>
      <c r="M89" s="8"/>
      <c r="N89" s="69">
        <v>34.0</v>
      </c>
      <c r="O89" s="24">
        <v>17511.0</v>
      </c>
      <c r="P89" s="24">
        <v>297719.0</v>
      </c>
      <c r="Q89" s="8"/>
      <c r="R89" s="70">
        <f t="shared" si="4"/>
        <v>297734.3578</v>
      </c>
      <c r="S89" s="8"/>
      <c r="T89" s="8"/>
      <c r="U89" s="8"/>
      <c r="V89" s="8"/>
      <c r="W89" s="8"/>
      <c r="X89" s="8"/>
      <c r="Y89" s="8"/>
      <c r="Z89" s="8"/>
      <c r="AA89" s="8"/>
      <c r="AB89" s="8"/>
      <c r="AC89" s="8"/>
      <c r="AD89" s="8"/>
      <c r="AE89" s="8"/>
      <c r="AF89" s="8"/>
    </row>
    <row r="90" ht="12.75" customHeight="1">
      <c r="A90" s="7">
        <v>36.0</v>
      </c>
      <c r="B90" s="8">
        <v>2590.0</v>
      </c>
      <c r="C90" s="8">
        <f t="shared" ref="C90:F90" si="37">C37-B37</f>
        <v>2719</v>
      </c>
      <c r="D90" s="8">
        <f t="shared" si="37"/>
        <v>2855</v>
      </c>
      <c r="E90" s="8">
        <f t="shared" si="37"/>
        <v>2998</v>
      </c>
      <c r="F90" s="8">
        <f t="shared" si="37"/>
        <v>3148</v>
      </c>
      <c r="G90" s="8"/>
      <c r="H90" s="8"/>
      <c r="I90" s="8"/>
      <c r="J90" s="8"/>
      <c r="K90" s="8"/>
      <c r="L90" s="8"/>
      <c r="M90" s="8"/>
      <c r="N90" s="69">
        <v>35.0</v>
      </c>
      <c r="O90" s="24">
        <v>18386.0</v>
      </c>
      <c r="P90" s="24">
        <v>316105.0</v>
      </c>
      <c r="Q90" s="8"/>
      <c r="R90" s="70">
        <f t="shared" si="4"/>
        <v>316121.0757</v>
      </c>
      <c r="S90" s="8"/>
      <c r="T90" s="8"/>
      <c r="U90" s="8"/>
      <c r="V90" s="8"/>
      <c r="W90" s="8"/>
      <c r="X90" s="8"/>
      <c r="Y90" s="8"/>
      <c r="Z90" s="8"/>
      <c r="AA90" s="8"/>
      <c r="AB90" s="8"/>
      <c r="AC90" s="8"/>
      <c r="AD90" s="8"/>
      <c r="AE90" s="8"/>
      <c r="AF90" s="8"/>
    </row>
    <row r="91" ht="12.75" customHeight="1">
      <c r="A91" s="7">
        <v>37.0</v>
      </c>
      <c r="B91" s="8">
        <v>2636.0</v>
      </c>
      <c r="C91" s="8">
        <f t="shared" ref="C91:F91" si="38">C38-B38</f>
        <v>2767</v>
      </c>
      <c r="D91" s="8">
        <f t="shared" si="38"/>
        <v>2906</v>
      </c>
      <c r="E91" s="8">
        <f t="shared" si="38"/>
        <v>3051</v>
      </c>
      <c r="F91" s="8">
        <f t="shared" si="38"/>
        <v>3204</v>
      </c>
      <c r="G91" s="8"/>
      <c r="H91" s="8"/>
      <c r="I91" s="8"/>
      <c r="J91" s="8"/>
      <c r="K91" s="8"/>
      <c r="L91" s="8"/>
      <c r="M91" s="8"/>
      <c r="N91" s="69">
        <v>36.0</v>
      </c>
      <c r="O91" s="24">
        <v>19306.0</v>
      </c>
      <c r="P91" s="24">
        <v>335411.0</v>
      </c>
      <c r="Q91" s="8"/>
      <c r="R91" s="70">
        <f t="shared" si="4"/>
        <v>335427.1295</v>
      </c>
      <c r="S91" s="8"/>
      <c r="T91" s="8"/>
      <c r="U91" s="8"/>
      <c r="V91" s="8"/>
      <c r="W91" s="8"/>
      <c r="X91" s="8"/>
      <c r="Y91" s="8"/>
      <c r="Z91" s="8"/>
      <c r="AA91" s="8"/>
      <c r="AB91" s="8"/>
      <c r="AC91" s="8"/>
      <c r="AD91" s="8"/>
      <c r="AE91" s="8"/>
      <c r="AF91" s="8"/>
    </row>
    <row r="92" ht="12.75" customHeight="1">
      <c r="A92" s="7">
        <v>38.0</v>
      </c>
      <c r="B92" s="8">
        <v>2681.0</v>
      </c>
      <c r="C92" s="8">
        <f t="shared" ref="C92:F92" si="39">C39-B39</f>
        <v>2815</v>
      </c>
      <c r="D92" s="8">
        <f t="shared" si="39"/>
        <v>2955</v>
      </c>
      <c r="E92" s="8">
        <f t="shared" si="39"/>
        <v>3103</v>
      </c>
      <c r="F92" s="8">
        <f t="shared" si="39"/>
        <v>3258</v>
      </c>
      <c r="G92" s="8"/>
      <c r="H92" s="8"/>
      <c r="I92" s="8"/>
      <c r="J92" s="8"/>
      <c r="K92" s="8"/>
      <c r="L92" s="8"/>
      <c r="M92" s="8"/>
      <c r="N92" s="69">
        <v>37.0</v>
      </c>
      <c r="O92" s="24">
        <v>20271.0</v>
      </c>
      <c r="P92" s="24">
        <v>355682.0</v>
      </c>
      <c r="Q92" s="8"/>
      <c r="R92" s="70">
        <f t="shared" si="4"/>
        <v>355698.486</v>
      </c>
      <c r="S92" s="8"/>
      <c r="T92" s="8"/>
      <c r="U92" s="8"/>
      <c r="V92" s="8"/>
      <c r="W92" s="8"/>
      <c r="X92" s="8"/>
      <c r="Y92" s="8"/>
      <c r="Z92" s="8"/>
      <c r="AA92" s="8"/>
      <c r="AB92" s="8"/>
      <c r="AC92" s="8"/>
      <c r="AD92" s="8"/>
      <c r="AE92" s="8"/>
      <c r="AF92" s="8"/>
    </row>
    <row r="93" ht="12.75" customHeight="1">
      <c r="A93" s="7">
        <v>39.0</v>
      </c>
      <c r="B93" s="8">
        <v>2727.0</v>
      </c>
      <c r="C93" s="8">
        <f t="shared" ref="C93:F93" si="40">C40-B40</f>
        <v>2863</v>
      </c>
      <c r="D93" s="8">
        <f t="shared" si="40"/>
        <v>3006</v>
      </c>
      <c r="E93" s="8">
        <f t="shared" si="40"/>
        <v>3156</v>
      </c>
      <c r="F93" s="8">
        <f t="shared" si="40"/>
        <v>3314</v>
      </c>
      <c r="G93" s="8"/>
      <c r="H93" s="8"/>
      <c r="I93" s="8"/>
      <c r="J93" s="8"/>
      <c r="K93" s="8"/>
      <c r="L93" s="8"/>
      <c r="M93" s="8"/>
      <c r="N93" s="69">
        <v>38.0</v>
      </c>
      <c r="O93" s="24">
        <v>21284.0</v>
      </c>
      <c r="P93" s="24">
        <v>376966.0</v>
      </c>
      <c r="Q93" s="8"/>
      <c r="R93" s="70">
        <f t="shared" si="4"/>
        <v>376983.4103</v>
      </c>
      <c r="S93" s="8"/>
      <c r="T93" s="8"/>
      <c r="U93" s="8"/>
      <c r="V93" s="8"/>
      <c r="W93" s="8"/>
      <c r="X93" s="8"/>
      <c r="Y93" s="8"/>
      <c r="Z93" s="8"/>
      <c r="AA93" s="8"/>
      <c r="AB93" s="8"/>
      <c r="AC93" s="8"/>
      <c r="AD93" s="8"/>
      <c r="AE93" s="8"/>
      <c r="AF93" s="8"/>
    </row>
    <row r="94" ht="12.75" customHeight="1">
      <c r="A94" s="7">
        <v>40.0</v>
      </c>
      <c r="B94" s="8">
        <v>2772.0</v>
      </c>
      <c r="C94" s="8">
        <f t="shared" ref="C94:K94" si="41">C41-B41</f>
        <v>2910</v>
      </c>
      <c r="D94" s="8">
        <f t="shared" si="41"/>
        <v>3056</v>
      </c>
      <c r="E94" s="8">
        <f t="shared" si="41"/>
        <v>3208</v>
      </c>
      <c r="F94" s="8">
        <f t="shared" si="41"/>
        <v>3369</v>
      </c>
      <c r="G94" s="8">
        <f t="shared" si="41"/>
        <v>3537</v>
      </c>
      <c r="H94" s="8">
        <f t="shared" si="41"/>
        <v>3714</v>
      </c>
      <c r="I94" s="8">
        <f t="shared" si="41"/>
        <v>3900</v>
      </c>
      <c r="J94" s="8">
        <f t="shared" si="41"/>
        <v>4095</v>
      </c>
      <c r="K94" s="49">
        <f t="shared" si="41"/>
        <v>4300</v>
      </c>
      <c r="L94" s="8"/>
      <c r="M94" s="8"/>
      <c r="N94" s="69">
        <v>39.0</v>
      </c>
      <c r="O94" s="24">
        <v>22349.0</v>
      </c>
      <c r="P94" s="24">
        <v>399315.0</v>
      </c>
      <c r="Q94" s="8"/>
      <c r="R94" s="70">
        <f t="shared" si="4"/>
        <v>399332.5808</v>
      </c>
      <c r="S94" s="8"/>
      <c r="T94" s="8"/>
      <c r="U94" s="8"/>
      <c r="V94" s="8"/>
      <c r="W94" s="8"/>
      <c r="X94" s="8"/>
      <c r="Y94" s="8"/>
      <c r="Z94" s="8"/>
      <c r="AA94" s="8"/>
      <c r="AB94" s="8"/>
      <c r="AC94" s="8"/>
      <c r="AD94" s="8"/>
      <c r="AE94" s="8"/>
      <c r="AF94" s="8"/>
    </row>
    <row r="95" ht="12.75" customHeight="1">
      <c r="A95" s="7">
        <v>41.0</v>
      </c>
      <c r="B95" s="8">
        <v>2818.0</v>
      </c>
      <c r="C95" s="8">
        <f t="shared" ref="C95:K95" si="42">C42-B42</f>
        <v>2958</v>
      </c>
      <c r="D95" s="8">
        <f t="shared" si="42"/>
        <v>3106</v>
      </c>
      <c r="E95" s="8">
        <f t="shared" si="42"/>
        <v>3262</v>
      </c>
      <c r="F95" s="8">
        <f t="shared" si="42"/>
        <v>3425</v>
      </c>
      <c r="G95" s="8">
        <f t="shared" si="42"/>
        <v>3596</v>
      </c>
      <c r="H95" s="8">
        <f t="shared" si="42"/>
        <v>3776</v>
      </c>
      <c r="I95" s="8">
        <f t="shared" si="42"/>
        <v>3965</v>
      </c>
      <c r="J95" s="8">
        <f t="shared" si="42"/>
        <v>4163</v>
      </c>
      <c r="K95" s="49">
        <f t="shared" si="42"/>
        <v>4371</v>
      </c>
      <c r="L95" s="8"/>
      <c r="M95" s="8"/>
      <c r="N95" s="69">
        <v>40.0</v>
      </c>
      <c r="O95" s="72">
        <v>23466.0</v>
      </c>
      <c r="P95" s="72">
        <v>422781.0</v>
      </c>
      <c r="Q95" s="73" t="s">
        <v>168</v>
      </c>
      <c r="R95" s="70">
        <f t="shared" si="4"/>
        <v>422799.2098</v>
      </c>
      <c r="S95" s="8"/>
      <c r="T95" s="8"/>
      <c r="U95" s="8"/>
      <c r="V95" s="8"/>
      <c r="W95" s="8"/>
      <c r="X95" s="8"/>
      <c r="Y95" s="8"/>
      <c r="Z95" s="8"/>
      <c r="AA95" s="8"/>
      <c r="AB95" s="8"/>
      <c r="AC95" s="8"/>
      <c r="AD95" s="8"/>
      <c r="AE95" s="8"/>
      <c r="AF95" s="8"/>
    </row>
    <row r="96" ht="12.75" customHeight="1">
      <c r="A96" s="7">
        <v>42.0</v>
      </c>
      <c r="B96" s="8">
        <v>2863.0</v>
      </c>
      <c r="C96" s="8">
        <f t="shared" ref="C96:F96" si="43">C43-B43</f>
        <v>3006</v>
      </c>
      <c r="D96" s="8">
        <f t="shared" si="43"/>
        <v>3156</v>
      </c>
      <c r="E96" s="8">
        <f t="shared" si="43"/>
        <v>3314</v>
      </c>
      <c r="F96" s="8">
        <f t="shared" si="43"/>
        <v>3479</v>
      </c>
      <c r="G96" s="8"/>
      <c r="H96" s="8"/>
      <c r="I96" s="8"/>
      <c r="J96" s="8"/>
      <c r="K96" s="8"/>
      <c r="L96" s="8"/>
      <c r="M96" s="8"/>
      <c r="N96" s="69">
        <v>41.0</v>
      </c>
      <c r="O96" s="24">
        <v>24639.0</v>
      </c>
      <c r="P96" s="24">
        <v>447420.0</v>
      </c>
      <c r="Q96" s="8"/>
      <c r="R96" s="70">
        <f t="shared" si="4"/>
        <v>447439.1703</v>
      </c>
      <c r="S96" s="8"/>
      <c r="T96" s="8"/>
      <c r="U96" s="8"/>
      <c r="V96" s="8"/>
      <c r="W96" s="8"/>
      <c r="X96" s="8"/>
      <c r="Y96" s="8"/>
      <c r="Z96" s="8"/>
      <c r="AA96" s="8"/>
      <c r="AB96" s="8"/>
      <c r="AC96" s="8"/>
      <c r="AD96" s="8"/>
      <c r="AE96" s="8"/>
      <c r="AF96" s="8"/>
    </row>
    <row r="97" ht="12.75" customHeight="1">
      <c r="A97" s="7">
        <v>43.0</v>
      </c>
      <c r="B97" s="8">
        <v>2909.0</v>
      </c>
      <c r="C97" s="8">
        <f t="shared" ref="C97:F97" si="44">C44-B44</f>
        <v>3054</v>
      </c>
      <c r="D97" s="8">
        <f t="shared" si="44"/>
        <v>3207</v>
      </c>
      <c r="E97" s="8">
        <f t="shared" si="44"/>
        <v>3367</v>
      </c>
      <c r="F97" s="8">
        <f t="shared" si="44"/>
        <v>3535</v>
      </c>
      <c r="G97" s="8"/>
      <c r="H97" s="8"/>
      <c r="I97" s="8"/>
      <c r="J97" s="8"/>
      <c r="K97" s="8"/>
      <c r="L97" s="8"/>
      <c r="M97" s="8"/>
      <c r="N97" s="69">
        <v>42.0</v>
      </c>
      <c r="O97" s="24">
        <v>25871.0</v>
      </c>
      <c r="P97" s="24">
        <v>473291.0</v>
      </c>
      <c r="Q97" s="8"/>
      <c r="R97" s="70">
        <f t="shared" si="4"/>
        <v>473311.1289</v>
      </c>
      <c r="S97" s="8"/>
      <c r="T97" s="8"/>
      <c r="U97" s="8"/>
      <c r="V97" s="8"/>
      <c r="W97" s="8"/>
      <c r="X97" s="8"/>
      <c r="Y97" s="8"/>
      <c r="Z97" s="8"/>
      <c r="AA97" s="8"/>
      <c r="AB97" s="8"/>
      <c r="AC97" s="8"/>
      <c r="AD97" s="8"/>
      <c r="AE97" s="8"/>
      <c r="AF97" s="8"/>
    </row>
    <row r="98" ht="12.75" customHeight="1">
      <c r="A98" s="7">
        <v>44.0</v>
      </c>
      <c r="B98" s="8">
        <v>2954.0</v>
      </c>
      <c r="C98" s="8">
        <f t="shared" ref="C98:F98" si="45">C45-B45</f>
        <v>3101</v>
      </c>
      <c r="D98" s="8">
        <f t="shared" si="45"/>
        <v>3256</v>
      </c>
      <c r="E98" s="8">
        <f t="shared" si="45"/>
        <v>3419</v>
      </c>
      <c r="F98" s="8">
        <f t="shared" si="45"/>
        <v>3590</v>
      </c>
      <c r="G98" s="8"/>
      <c r="H98" s="8"/>
      <c r="I98" s="8"/>
      <c r="J98" s="8"/>
      <c r="K98" s="8"/>
      <c r="L98" s="8"/>
      <c r="M98" s="8"/>
      <c r="N98" s="69">
        <v>43.0</v>
      </c>
      <c r="O98" s="24">
        <v>27165.0</v>
      </c>
      <c r="P98" s="24">
        <v>500456.0</v>
      </c>
      <c r="Q98" s="8"/>
      <c r="R98" s="70">
        <f t="shared" si="4"/>
        <v>500476.6853</v>
      </c>
      <c r="S98" s="8"/>
      <c r="T98" s="8"/>
      <c r="U98" s="8"/>
      <c r="V98" s="8"/>
      <c r="W98" s="8"/>
      <c r="X98" s="8"/>
      <c r="Y98" s="8"/>
      <c r="Z98" s="8"/>
      <c r="AA98" s="8"/>
      <c r="AB98" s="8"/>
      <c r="AC98" s="8"/>
      <c r="AD98" s="8"/>
      <c r="AE98" s="8"/>
      <c r="AF98" s="8"/>
    </row>
    <row r="99" ht="12.75" customHeight="1">
      <c r="A99" s="7">
        <v>45.0</v>
      </c>
      <c r="B99" s="8">
        <v>3000.0</v>
      </c>
      <c r="C99" s="8">
        <f t="shared" ref="C99:F99" si="46">C46-B46</f>
        <v>3149</v>
      </c>
      <c r="D99" s="8">
        <f t="shared" si="46"/>
        <v>3307</v>
      </c>
      <c r="E99" s="8">
        <f t="shared" si="46"/>
        <v>3472</v>
      </c>
      <c r="F99" s="8">
        <f t="shared" si="46"/>
        <v>3646</v>
      </c>
      <c r="G99" s="8"/>
      <c r="H99" s="8"/>
      <c r="I99" s="8"/>
      <c r="J99" s="8"/>
      <c r="K99" s="8"/>
      <c r="L99" s="8"/>
      <c r="M99" s="8"/>
      <c r="N99" s="69">
        <v>44.0</v>
      </c>
      <c r="O99" s="24">
        <v>28523.0</v>
      </c>
      <c r="P99" s="24">
        <v>528979.0</v>
      </c>
      <c r="Q99" s="8"/>
      <c r="R99" s="70">
        <f t="shared" si="4"/>
        <v>529000.5196</v>
      </c>
      <c r="S99" s="8"/>
      <c r="T99" s="8"/>
      <c r="U99" s="8"/>
      <c r="V99" s="8"/>
      <c r="W99" s="8"/>
      <c r="X99" s="8"/>
      <c r="Y99" s="8"/>
      <c r="Z99" s="8"/>
      <c r="AA99" s="8"/>
      <c r="AB99" s="8"/>
      <c r="AC99" s="8"/>
      <c r="AD99" s="8"/>
      <c r="AE99" s="8"/>
      <c r="AF99" s="8"/>
    </row>
    <row r="100" ht="12.75" customHeight="1">
      <c r="A100" s="7">
        <v>46.0</v>
      </c>
      <c r="B100" s="8">
        <v>3196.0</v>
      </c>
      <c r="C100" s="8">
        <f t="shared" ref="C100:F100" si="47">C47-B47</f>
        <v>3355</v>
      </c>
      <c r="D100" s="8">
        <f t="shared" si="47"/>
        <v>3523</v>
      </c>
      <c r="E100" s="8">
        <f t="shared" si="47"/>
        <v>3699</v>
      </c>
      <c r="F100" s="8">
        <f t="shared" si="47"/>
        <v>3884</v>
      </c>
      <c r="G100" s="8"/>
      <c r="H100" s="8"/>
      <c r="I100" s="8"/>
      <c r="J100" s="8"/>
      <c r="K100" s="8"/>
      <c r="L100" s="8"/>
      <c r="M100" s="8"/>
      <c r="N100" s="69">
        <v>45.0</v>
      </c>
      <c r="O100" s="24">
        <v>29949.0</v>
      </c>
      <c r="P100" s="24">
        <v>558928.0</v>
      </c>
      <c r="Q100" s="8"/>
      <c r="R100" s="70">
        <f t="shared" si="4"/>
        <v>558950.5455</v>
      </c>
      <c r="S100" s="8"/>
      <c r="T100" s="8"/>
      <c r="U100" s="8"/>
      <c r="V100" s="8"/>
      <c r="W100" s="8"/>
      <c r="X100" s="8"/>
      <c r="Y100" s="8"/>
      <c r="Z100" s="8"/>
      <c r="AA100" s="8"/>
      <c r="AB100" s="8"/>
      <c r="AC100" s="8"/>
      <c r="AD100" s="8"/>
      <c r="AE100" s="8"/>
      <c r="AF100" s="8"/>
    </row>
    <row r="101" ht="12.75" customHeight="1">
      <c r="A101" s="7">
        <v>47.0</v>
      </c>
      <c r="B101" s="8">
        <v>3272.0</v>
      </c>
      <c r="C101" s="8">
        <f t="shared" ref="C101:F101" si="48">C48-B48</f>
        <v>3435</v>
      </c>
      <c r="D101" s="8">
        <f t="shared" si="48"/>
        <v>3607</v>
      </c>
      <c r="E101" s="8">
        <f t="shared" si="48"/>
        <v>3787</v>
      </c>
      <c r="F101" s="8">
        <f t="shared" si="48"/>
        <v>3977</v>
      </c>
      <c r="G101" s="8"/>
      <c r="H101" s="8"/>
      <c r="I101" s="8"/>
      <c r="J101" s="8"/>
      <c r="K101" s="8"/>
      <c r="L101" s="8"/>
      <c r="M101" s="8"/>
      <c r="N101" s="69">
        <v>46.0</v>
      </c>
      <c r="O101" s="24">
        <v>31447.0</v>
      </c>
      <c r="P101" s="24">
        <v>590375.0</v>
      </c>
      <c r="Q101" s="8"/>
      <c r="R101" s="70">
        <f t="shared" si="4"/>
        <v>590398.0728</v>
      </c>
      <c r="S101" s="8"/>
      <c r="T101" s="8"/>
      <c r="U101" s="8"/>
      <c r="V101" s="8"/>
      <c r="W101" s="8"/>
      <c r="X101" s="8"/>
      <c r="Y101" s="8"/>
      <c r="Z101" s="8"/>
      <c r="AA101" s="8"/>
      <c r="AB101" s="8"/>
      <c r="AC101" s="8"/>
      <c r="AD101" s="8"/>
      <c r="AE101" s="8"/>
      <c r="AF101" s="8"/>
    </row>
    <row r="102" ht="12.75" customHeight="1">
      <c r="A102" s="7">
        <v>48.0</v>
      </c>
      <c r="B102" s="8">
        <v>3348.0</v>
      </c>
      <c r="C102" s="8">
        <f t="shared" ref="C102:F102" si="49">C49-B49</f>
        <v>3515</v>
      </c>
      <c r="D102" s="8">
        <f t="shared" si="49"/>
        <v>3691</v>
      </c>
      <c r="E102" s="8">
        <f t="shared" si="49"/>
        <v>3875</v>
      </c>
      <c r="F102" s="8">
        <f t="shared" si="49"/>
        <v>4069</v>
      </c>
      <c r="G102" s="8"/>
      <c r="H102" s="8"/>
      <c r="I102" s="8"/>
      <c r="J102" s="8"/>
      <c r="K102" s="8"/>
      <c r="L102" s="8"/>
      <c r="M102" s="8"/>
      <c r="N102" s="69">
        <v>47.0</v>
      </c>
      <c r="O102" s="24">
        <v>33019.0</v>
      </c>
      <c r="P102" s="24">
        <v>623394.0</v>
      </c>
      <c r="Q102" s="8"/>
      <c r="R102" s="70">
        <f t="shared" si="4"/>
        <v>623417.9765</v>
      </c>
      <c r="S102" s="8"/>
      <c r="T102" s="8"/>
      <c r="U102" s="8"/>
      <c r="V102" s="8"/>
      <c r="W102" s="8"/>
      <c r="X102" s="8"/>
      <c r="Y102" s="8"/>
      <c r="Z102" s="8"/>
      <c r="AA102" s="8"/>
      <c r="AB102" s="8"/>
      <c r="AC102" s="8"/>
      <c r="AD102" s="8"/>
      <c r="AE102" s="8"/>
      <c r="AF102" s="8"/>
    </row>
    <row r="103" ht="12.75" customHeight="1">
      <c r="A103" s="7">
        <v>49.0</v>
      </c>
      <c r="B103" s="8">
        <v>3424.0</v>
      </c>
      <c r="C103" s="8">
        <f t="shared" ref="C103:F103" si="50">C50-B50</f>
        <v>3595</v>
      </c>
      <c r="D103" s="8">
        <f t="shared" si="50"/>
        <v>3774</v>
      </c>
      <c r="E103" s="8">
        <f t="shared" si="50"/>
        <v>3963</v>
      </c>
      <c r="F103" s="8">
        <f t="shared" si="50"/>
        <v>4161</v>
      </c>
      <c r="G103" s="8"/>
      <c r="H103" s="8"/>
      <c r="I103" s="8"/>
      <c r="J103" s="8"/>
      <c r="K103" s="8"/>
      <c r="L103" s="8"/>
      <c r="M103" s="8"/>
      <c r="N103" s="69">
        <v>48.0</v>
      </c>
      <c r="O103" s="24">
        <v>34670.0</v>
      </c>
      <c r="P103" s="24">
        <v>658064.0</v>
      </c>
      <c r="Q103" s="8"/>
      <c r="R103" s="70">
        <f t="shared" si="4"/>
        <v>658088.8753</v>
      </c>
      <c r="S103" s="8"/>
      <c r="T103" s="8"/>
      <c r="U103" s="8"/>
      <c r="V103" s="8"/>
      <c r="W103" s="8"/>
      <c r="X103" s="8"/>
      <c r="Y103" s="8"/>
      <c r="Z103" s="8"/>
      <c r="AA103" s="8"/>
      <c r="AB103" s="8"/>
      <c r="AC103" s="8"/>
      <c r="AD103" s="8"/>
      <c r="AE103" s="8"/>
      <c r="AF103" s="8"/>
    </row>
    <row r="104" ht="12.75" customHeight="1">
      <c r="A104" s="7">
        <v>50.0</v>
      </c>
      <c r="B104" s="8">
        <v>3500.0</v>
      </c>
      <c r="C104" s="8">
        <f t="shared" ref="C104:J104" si="51">C51-B51</f>
        <v>3674</v>
      </c>
      <c r="D104" s="8">
        <f t="shared" si="51"/>
        <v>3858</v>
      </c>
      <c r="E104" s="8">
        <f t="shared" si="51"/>
        <v>4051</v>
      </c>
      <c r="F104" s="8">
        <f t="shared" si="51"/>
        <v>4254</v>
      </c>
      <c r="G104" s="8">
        <f t="shared" si="51"/>
        <v>4466</v>
      </c>
      <c r="H104" s="8">
        <f t="shared" si="51"/>
        <v>4690</v>
      </c>
      <c r="I104" s="8">
        <f t="shared" si="51"/>
        <v>4924</v>
      </c>
      <c r="J104" s="8">
        <f t="shared" si="51"/>
        <v>5171</v>
      </c>
      <c r="K104" s="82">
        <v>5429.0</v>
      </c>
      <c r="L104" s="59" t="s">
        <v>154</v>
      </c>
      <c r="M104" s="8"/>
      <c r="N104" s="69">
        <v>49.0</v>
      </c>
      <c r="O104" s="24">
        <v>36404.0</v>
      </c>
      <c r="P104" s="24">
        <v>694468.0</v>
      </c>
      <c r="Q104" s="65"/>
      <c r="R104" s="83">
        <v>694493.0</v>
      </c>
      <c r="S104" s="8"/>
      <c r="T104" s="8"/>
      <c r="U104" s="8"/>
      <c r="V104" s="8"/>
      <c r="W104" s="8"/>
      <c r="X104" s="8"/>
      <c r="Y104" s="8"/>
      <c r="Z104" s="8"/>
      <c r="AA104" s="8"/>
      <c r="AB104" s="8"/>
      <c r="AC104" s="8"/>
      <c r="AD104" s="8"/>
      <c r="AE104" s="8"/>
      <c r="AF104" s="8"/>
    </row>
    <row r="105" ht="12.75" customHeight="1">
      <c r="A105" s="13"/>
      <c r="B105" s="84" t="s">
        <v>170</v>
      </c>
      <c r="C105" s="85">
        <f t="shared" ref="C105:K105" si="52">C104/B104</f>
        <v>1.049714286</v>
      </c>
      <c r="D105" s="85">
        <f t="shared" si="52"/>
        <v>1.050081655</v>
      </c>
      <c r="E105" s="85">
        <f t="shared" si="52"/>
        <v>1.05002592</v>
      </c>
      <c r="F105" s="85">
        <f t="shared" si="52"/>
        <v>1.050111084</v>
      </c>
      <c r="G105" s="85">
        <f t="shared" si="52"/>
        <v>1.049835449</v>
      </c>
      <c r="H105" s="85">
        <f t="shared" si="52"/>
        <v>1.05015674</v>
      </c>
      <c r="I105" s="85">
        <f t="shared" si="52"/>
        <v>1.04989339</v>
      </c>
      <c r="J105" s="85">
        <f t="shared" si="52"/>
        <v>1.05016247</v>
      </c>
      <c r="K105" s="85">
        <f t="shared" si="52"/>
        <v>1.049893638</v>
      </c>
      <c r="L105" s="86"/>
      <c r="M105" s="8"/>
      <c r="N105" s="69">
        <v>50.0</v>
      </c>
      <c r="O105" s="72">
        <v>38224.0</v>
      </c>
      <c r="P105" s="72">
        <v>732692.0</v>
      </c>
      <c r="Q105" s="73" t="s">
        <v>171</v>
      </c>
      <c r="R105" s="83">
        <v>732718.0</v>
      </c>
      <c r="S105" s="8"/>
      <c r="T105" s="8"/>
      <c r="U105" s="8"/>
      <c r="V105" s="8"/>
      <c r="W105" s="8"/>
      <c r="X105" s="8"/>
      <c r="Y105" s="8"/>
      <c r="Z105" s="8"/>
      <c r="AA105" s="8"/>
      <c r="AB105" s="8"/>
      <c r="AC105" s="8"/>
      <c r="AD105" s="8"/>
      <c r="AE105" s="8"/>
      <c r="AF105" s="8"/>
    </row>
    <row r="106" ht="12.75" customHeight="1">
      <c r="A106" s="13"/>
      <c r="B106" s="84"/>
      <c r="C106" s="85"/>
      <c r="D106" s="85"/>
      <c r="E106" s="85"/>
      <c r="F106" s="85"/>
      <c r="G106" s="85"/>
      <c r="H106" s="85"/>
      <c r="I106" s="85"/>
      <c r="J106" s="85"/>
      <c r="K106" s="85"/>
      <c r="L106" s="86"/>
      <c r="M106" s="13" t="s">
        <v>151</v>
      </c>
      <c r="N106" s="87"/>
      <c r="O106" s="8"/>
      <c r="P106" s="8"/>
      <c r="Q106" s="65"/>
      <c r="R106" s="83"/>
      <c r="S106" s="8"/>
      <c r="T106" s="8"/>
      <c r="U106" s="8"/>
      <c r="V106" s="8"/>
      <c r="W106" s="8"/>
      <c r="X106" s="8"/>
      <c r="Y106" s="8"/>
      <c r="Z106" s="8"/>
      <c r="AA106" s="8"/>
      <c r="AB106" s="8"/>
      <c r="AC106" s="8"/>
      <c r="AD106" s="8"/>
      <c r="AE106" s="8"/>
      <c r="AF106" s="8"/>
    </row>
  </sheetData>
  <printOptions/>
  <pageMargins bottom="0.7875" footer="0.0" header="0.0" left="0.7875" right="0.7875" top="0.78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87" width="8.63"/>
  </cols>
  <sheetData>
    <row r="1" ht="12.75" customHeight="1">
      <c r="A1" s="39"/>
      <c r="B1" s="41" t="s">
        <v>81</v>
      </c>
      <c r="E1" s="41" t="s">
        <v>82</v>
      </c>
      <c r="H1" s="41" t="s">
        <v>83</v>
      </c>
      <c r="K1" s="41" t="s">
        <v>84</v>
      </c>
      <c r="N1" s="41" t="s">
        <v>85</v>
      </c>
      <c r="Q1" s="41" t="s">
        <v>86</v>
      </c>
      <c r="T1" s="41" t="s">
        <v>87</v>
      </c>
      <c r="W1" s="41" t="s">
        <v>88</v>
      </c>
      <c r="Z1" s="41" t="s">
        <v>89</v>
      </c>
      <c r="AC1" s="41" t="s">
        <v>90</v>
      </c>
      <c r="AF1" s="41" t="s">
        <v>91</v>
      </c>
      <c r="AI1" s="41" t="s">
        <v>92</v>
      </c>
      <c r="AL1" s="41" t="s">
        <v>93</v>
      </c>
      <c r="AO1" s="41" t="s">
        <v>95</v>
      </c>
      <c r="AR1" s="41" t="s">
        <v>96</v>
      </c>
      <c r="AU1" s="41" t="s">
        <v>97</v>
      </c>
      <c r="AX1" s="41" t="s">
        <v>98</v>
      </c>
      <c r="BA1" s="41" t="s">
        <v>99</v>
      </c>
      <c r="BD1" s="41" t="s">
        <v>100</v>
      </c>
      <c r="BG1" s="41" t="s">
        <v>101</v>
      </c>
      <c r="CI1" s="15" t="s">
        <v>16</v>
      </c>
    </row>
    <row r="2" ht="12.75" customHeight="1">
      <c r="A2" s="39"/>
      <c r="B2" s="41" t="s">
        <v>102</v>
      </c>
      <c r="E2" s="41" t="s">
        <v>103</v>
      </c>
      <c r="H2" s="41" t="s">
        <v>104</v>
      </c>
      <c r="K2" s="41" t="s">
        <v>105</v>
      </c>
      <c r="N2" s="41" t="s">
        <v>106</v>
      </c>
      <c r="Q2" s="41" t="s">
        <v>107</v>
      </c>
      <c r="T2" s="41" t="s">
        <v>108</v>
      </c>
      <c r="W2" s="41" t="s">
        <v>109</v>
      </c>
      <c r="Z2" s="41" t="s">
        <v>110</v>
      </c>
      <c r="AC2" s="41" t="s">
        <v>111</v>
      </c>
      <c r="AF2" s="41" t="s">
        <v>112</v>
      </c>
      <c r="AI2" s="41" t="s">
        <v>113</v>
      </c>
      <c r="AL2" s="41" t="s">
        <v>114</v>
      </c>
      <c r="AO2" s="41" t="s">
        <v>115</v>
      </c>
      <c r="AR2" s="41" t="s">
        <v>116</v>
      </c>
      <c r="AU2" s="41" t="s">
        <v>117</v>
      </c>
      <c r="AX2" s="41" t="s">
        <v>119</v>
      </c>
      <c r="BA2" s="41" t="s">
        <v>120</v>
      </c>
      <c r="BD2" s="41" t="s">
        <v>121</v>
      </c>
      <c r="BG2" s="41" t="s">
        <v>122</v>
      </c>
    </row>
    <row r="3" ht="12.75" customHeight="1">
      <c r="A3" s="47" t="s">
        <v>0</v>
      </c>
      <c r="B3" s="48" t="s">
        <v>123</v>
      </c>
      <c r="C3" s="48"/>
      <c r="D3" s="48"/>
      <c r="E3" s="48" t="s">
        <v>124</v>
      </c>
      <c r="F3" s="48"/>
      <c r="G3" s="48"/>
      <c r="H3" s="48" t="s">
        <v>125</v>
      </c>
      <c r="I3" s="48"/>
      <c r="J3" s="48"/>
      <c r="K3" s="48" t="s">
        <v>126</v>
      </c>
      <c r="L3" s="48"/>
      <c r="M3" s="48"/>
      <c r="N3" s="48" t="s">
        <v>127</v>
      </c>
      <c r="O3" s="48"/>
      <c r="P3" s="48"/>
      <c r="Q3" s="48" t="s">
        <v>129</v>
      </c>
      <c r="R3" s="48"/>
      <c r="S3" s="48"/>
      <c r="T3" s="48" t="s">
        <v>130</v>
      </c>
      <c r="U3" s="48"/>
      <c r="V3" s="48"/>
      <c r="W3" s="48" t="s">
        <v>131</v>
      </c>
      <c r="X3" s="48"/>
      <c r="Y3" s="48"/>
      <c r="Z3" s="48" t="s">
        <v>132</v>
      </c>
      <c r="AA3" s="48"/>
      <c r="AB3" s="48"/>
      <c r="AC3" s="48" t="s">
        <v>133</v>
      </c>
      <c r="AD3" s="48"/>
      <c r="AE3" s="48"/>
      <c r="AF3" s="48" t="s">
        <v>135</v>
      </c>
      <c r="AG3" s="48"/>
      <c r="AH3" s="48"/>
      <c r="AI3" s="48" t="s">
        <v>136</v>
      </c>
      <c r="AJ3" s="48"/>
      <c r="AK3" s="48"/>
      <c r="AL3" s="48" t="s">
        <v>137</v>
      </c>
      <c r="AM3" s="48"/>
      <c r="AN3" s="48"/>
      <c r="AO3" s="48" t="s">
        <v>138</v>
      </c>
      <c r="AP3" s="48"/>
      <c r="AQ3" s="48"/>
      <c r="AR3" s="48" t="s">
        <v>140</v>
      </c>
      <c r="AS3" s="48"/>
      <c r="AT3" s="48"/>
      <c r="AU3" s="48" t="s">
        <v>141</v>
      </c>
      <c r="AV3" s="48"/>
      <c r="AW3" s="48"/>
      <c r="AX3" s="48" t="s">
        <v>142</v>
      </c>
      <c r="AY3" s="48"/>
      <c r="AZ3" s="48"/>
      <c r="BA3" s="48" t="s">
        <v>143</v>
      </c>
      <c r="BB3" s="48"/>
      <c r="BC3" s="48"/>
      <c r="BD3" s="48" t="s">
        <v>144</v>
      </c>
      <c r="BE3" s="48"/>
      <c r="BF3" s="48"/>
      <c r="BG3" s="48" t="s">
        <v>145</v>
      </c>
      <c r="BH3" s="48"/>
      <c r="BI3" s="48"/>
    </row>
    <row r="4" ht="12.75" customHeight="1">
      <c r="A4" s="52" t="s">
        <v>0</v>
      </c>
      <c r="B4" s="29" t="s">
        <v>32</v>
      </c>
      <c r="C4" s="29"/>
      <c r="D4" s="29"/>
      <c r="E4" s="29" t="s">
        <v>31</v>
      </c>
      <c r="F4" s="29"/>
      <c r="G4" s="29"/>
      <c r="H4" s="29" t="s">
        <v>42</v>
      </c>
      <c r="I4" s="29"/>
      <c r="J4" s="29"/>
      <c r="K4" s="29" t="s">
        <v>52</v>
      </c>
      <c r="L4" s="29" t="s">
        <v>59</v>
      </c>
      <c r="M4" s="29" t="s">
        <v>49</v>
      </c>
      <c r="N4" s="29" t="s">
        <v>63</v>
      </c>
      <c r="O4" s="29" t="s">
        <v>67</v>
      </c>
      <c r="P4" s="29" t="s">
        <v>69</v>
      </c>
      <c r="Q4" s="29" t="s">
        <v>70</v>
      </c>
      <c r="R4" s="29" t="s">
        <v>39</v>
      </c>
      <c r="S4" s="29"/>
      <c r="T4" s="31" t="s">
        <v>65</v>
      </c>
      <c r="U4" s="31" t="s">
        <v>40</v>
      </c>
      <c r="V4" s="29"/>
      <c r="W4" s="29" t="s">
        <v>55</v>
      </c>
      <c r="X4" s="29"/>
      <c r="Y4" s="29"/>
      <c r="Z4" s="29" t="s">
        <v>60</v>
      </c>
      <c r="AA4" s="31" t="s">
        <v>147</v>
      </c>
      <c r="AB4" s="29"/>
      <c r="AC4" s="29" t="s">
        <v>38</v>
      </c>
      <c r="AD4" s="29"/>
      <c r="AE4" s="29"/>
      <c r="AF4" s="29" t="s">
        <v>34</v>
      </c>
      <c r="AG4" s="29"/>
      <c r="AH4" s="29"/>
      <c r="AI4" s="29" t="s">
        <v>35</v>
      </c>
      <c r="AJ4" s="29"/>
      <c r="AK4" s="29"/>
      <c r="AL4" s="29" t="s">
        <v>43</v>
      </c>
      <c r="AM4" s="29" t="s">
        <v>45</v>
      </c>
      <c r="AN4" s="29"/>
      <c r="AO4" s="29" t="s">
        <v>56</v>
      </c>
      <c r="AP4" s="29" t="s">
        <v>33</v>
      </c>
      <c r="AQ4" s="29" t="s">
        <v>53</v>
      </c>
      <c r="AR4" s="29" t="s">
        <v>68</v>
      </c>
      <c r="AS4" s="29" t="s">
        <v>41</v>
      </c>
      <c r="AT4" s="29" t="s">
        <v>66</v>
      </c>
      <c r="AU4" s="29" t="s">
        <v>61</v>
      </c>
      <c r="AV4" s="29" t="s">
        <v>54</v>
      </c>
      <c r="AW4" s="29" t="s">
        <v>48</v>
      </c>
      <c r="AX4" s="29" t="s">
        <v>57</v>
      </c>
      <c r="AY4" s="29" t="s">
        <v>46</v>
      </c>
      <c r="AZ4" s="29"/>
      <c r="BA4" s="29" t="s">
        <v>44</v>
      </c>
      <c r="BB4" s="29" t="s">
        <v>36</v>
      </c>
      <c r="BC4" s="29"/>
      <c r="BD4" s="29" t="s">
        <v>37</v>
      </c>
      <c r="BE4" s="29" t="s">
        <v>51</v>
      </c>
      <c r="BF4" s="29" t="s">
        <v>149</v>
      </c>
      <c r="BG4" s="29" t="s">
        <v>47</v>
      </c>
      <c r="BH4" s="29" t="s">
        <v>58</v>
      </c>
      <c r="BI4" s="29" t="s">
        <v>62</v>
      </c>
      <c r="BJ4" s="31" t="s">
        <v>151</v>
      </c>
      <c r="BK4" s="29"/>
      <c r="BL4" s="29"/>
      <c r="BM4" s="29"/>
      <c r="BN4" s="29"/>
      <c r="BO4" s="29"/>
      <c r="BP4" s="29"/>
      <c r="BQ4" s="29"/>
      <c r="BR4" s="29"/>
      <c r="BS4" s="29"/>
      <c r="BT4" s="29"/>
      <c r="BU4" s="29"/>
      <c r="BV4" s="29"/>
      <c r="BW4" s="29"/>
      <c r="BX4" s="29"/>
      <c r="BY4" s="29"/>
      <c r="BZ4" s="29"/>
      <c r="CA4" s="29"/>
      <c r="CB4" s="29"/>
      <c r="CC4" s="29"/>
      <c r="CD4" s="29"/>
      <c r="CE4" s="29"/>
      <c r="CF4" s="29"/>
      <c r="CG4" s="29"/>
      <c r="CH4" s="29"/>
      <c r="CI4" s="29"/>
    </row>
    <row r="5" ht="12.75" customHeight="1">
      <c r="A5" s="32" t="s">
        <v>73</v>
      </c>
      <c r="B5" s="33">
        <v>0.108</v>
      </c>
      <c r="C5" s="58"/>
      <c r="D5" s="58"/>
      <c r="E5" s="33">
        <v>0.09</v>
      </c>
      <c r="F5" s="58"/>
      <c r="G5" s="58"/>
      <c r="H5" s="33">
        <v>0.162</v>
      </c>
      <c r="I5" s="58"/>
      <c r="J5" s="58"/>
      <c r="K5" s="33">
        <v>0.45</v>
      </c>
      <c r="L5" s="33">
        <v>0.6</v>
      </c>
      <c r="M5" s="33">
        <v>0.36</v>
      </c>
      <c r="N5" s="33">
        <v>0.72</v>
      </c>
      <c r="O5" s="33">
        <v>1.08</v>
      </c>
      <c r="P5" s="33">
        <v>1.8</v>
      </c>
      <c r="Q5" s="33">
        <v>1.8</v>
      </c>
      <c r="R5" s="33">
        <v>0.15</v>
      </c>
      <c r="S5" s="58"/>
      <c r="T5" s="33">
        <v>0.75</v>
      </c>
      <c r="U5" s="33">
        <v>0.15</v>
      </c>
      <c r="V5" s="58"/>
      <c r="W5" s="33">
        <v>0.48</v>
      </c>
      <c r="X5" s="58"/>
      <c r="Y5" s="58"/>
      <c r="Z5" s="33">
        <v>0.6</v>
      </c>
      <c r="AA5" s="33">
        <v>0.36</v>
      </c>
      <c r="AB5" s="58"/>
      <c r="AC5" s="33">
        <v>0.405</v>
      </c>
      <c r="AD5" s="58"/>
      <c r="AE5" s="58"/>
      <c r="AF5" s="33">
        <v>0.117</v>
      </c>
      <c r="AG5" s="58"/>
      <c r="AH5" s="58"/>
      <c r="AI5" s="33">
        <v>0.117</v>
      </c>
      <c r="AJ5" s="58"/>
      <c r="AK5" s="58"/>
      <c r="AL5" s="33">
        <v>0.162</v>
      </c>
      <c r="AM5" s="33">
        <v>0.234</v>
      </c>
      <c r="AN5" s="58"/>
      <c r="AO5" s="33">
        <v>0.54</v>
      </c>
      <c r="AP5" s="33">
        <v>0.108</v>
      </c>
      <c r="AQ5" s="33">
        <v>0.45</v>
      </c>
      <c r="AR5" s="33">
        <v>1.08</v>
      </c>
      <c r="AS5" s="33">
        <v>0.153</v>
      </c>
      <c r="AT5" s="33">
        <v>0.75</v>
      </c>
      <c r="AU5" s="33">
        <v>0.66</v>
      </c>
      <c r="AV5" s="33">
        <v>0.462</v>
      </c>
      <c r="AW5" s="33">
        <v>0.33</v>
      </c>
      <c r="AX5" s="33">
        <v>0.54</v>
      </c>
      <c r="AY5" s="33">
        <v>0.27</v>
      </c>
      <c r="AZ5" s="58"/>
      <c r="BA5" s="33">
        <v>0.18</v>
      </c>
      <c r="BB5" s="33">
        <v>0.12</v>
      </c>
      <c r="BC5" s="58"/>
      <c r="BD5" s="33">
        <v>0.12</v>
      </c>
      <c r="BE5" s="33">
        <v>0.36</v>
      </c>
      <c r="BF5" s="58"/>
      <c r="BG5" s="33">
        <v>0.3</v>
      </c>
      <c r="BH5" s="33">
        <v>0.54</v>
      </c>
      <c r="BI5" s="33">
        <v>0.66</v>
      </c>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row>
    <row r="6" ht="12.75" customHeight="1">
      <c r="A6" s="34">
        <v>1.0</v>
      </c>
      <c r="E6" s="41">
        <v>1246.0</v>
      </c>
      <c r="G6" s="15" t="s">
        <v>157</v>
      </c>
    </row>
    <row r="7" ht="12.75" customHeight="1">
      <c r="A7" s="34">
        <v>2.0</v>
      </c>
      <c r="E7" s="41">
        <v>1265.0</v>
      </c>
      <c r="G7" s="15" t="s">
        <v>158</v>
      </c>
    </row>
    <row r="8" ht="12.75" customHeight="1">
      <c r="A8" s="34">
        <v>3.0</v>
      </c>
      <c r="B8" s="41">
        <v>1541.0</v>
      </c>
      <c r="E8" s="41">
        <v>1284.0</v>
      </c>
      <c r="G8" s="15" t="s">
        <v>159</v>
      </c>
      <c r="T8" s="41">
        <v>10702.0</v>
      </c>
      <c r="U8" s="41">
        <v>2140.0</v>
      </c>
      <c r="W8" s="41">
        <v>6849.0</v>
      </c>
    </row>
    <row r="9" ht="12.75" customHeight="1">
      <c r="A9" s="34">
        <v>4.0</v>
      </c>
      <c r="B9" s="41">
        <v>1551.0</v>
      </c>
      <c r="E9" s="41">
        <v>1293.0</v>
      </c>
      <c r="K9" s="41">
        <v>6465.0</v>
      </c>
      <c r="L9" s="41">
        <v>8620.0</v>
      </c>
      <c r="M9" s="41">
        <v>5172.0</v>
      </c>
      <c r="T9" s="45">
        <v>10776.0</v>
      </c>
      <c r="U9" s="45">
        <v>2155.0</v>
      </c>
      <c r="W9" s="45">
        <v>6896.0</v>
      </c>
    </row>
    <row r="10" ht="12.75" customHeight="1">
      <c r="A10" s="34">
        <v>5.0</v>
      </c>
      <c r="B10" s="45">
        <v>1559.0</v>
      </c>
      <c r="E10" s="41">
        <v>1299.0</v>
      </c>
      <c r="K10" s="45">
        <v>6497.0</v>
      </c>
      <c r="L10" s="45">
        <v>8862.0</v>
      </c>
      <c r="M10" s="45">
        <v>5197.0</v>
      </c>
      <c r="T10" s="45">
        <v>10828.0</v>
      </c>
      <c r="U10" s="45">
        <v>2165.0</v>
      </c>
      <c r="W10" s="45">
        <v>6930.0</v>
      </c>
    </row>
    <row r="11" ht="12.75" customHeight="1">
      <c r="A11" s="34">
        <v>6.0</v>
      </c>
      <c r="B11" s="45">
        <v>1567.0</v>
      </c>
      <c r="E11" s="45">
        <v>1306.0</v>
      </c>
      <c r="K11" s="45">
        <v>6531.0</v>
      </c>
      <c r="L11" s="45">
        <v>8709.0</v>
      </c>
      <c r="M11" s="45">
        <v>5225.0</v>
      </c>
      <c r="T11" s="41">
        <v>10886.0</v>
      </c>
      <c r="U11" s="41">
        <v>2177.0</v>
      </c>
      <c r="W11" s="45">
        <v>6967.0</v>
      </c>
      <c r="BA11" s="41">
        <v>2612.0</v>
      </c>
      <c r="BB11" s="41">
        <v>1741.0</v>
      </c>
    </row>
    <row r="12" ht="12.75" customHeight="1">
      <c r="A12" s="34">
        <v>7.0</v>
      </c>
      <c r="B12" s="41">
        <v>1576.0</v>
      </c>
      <c r="E12" s="41">
        <v>1313.0</v>
      </c>
      <c r="K12" s="45">
        <v>6569.0</v>
      </c>
      <c r="L12" s="45">
        <v>8759.0</v>
      </c>
      <c r="M12" s="45">
        <v>5255.0</v>
      </c>
      <c r="T12" s="45">
        <v>10949.0</v>
      </c>
      <c r="U12" s="45">
        <v>2189.0</v>
      </c>
      <c r="W12" s="45">
        <v>7007.0</v>
      </c>
      <c r="AU12" s="41">
        <v>9635.0</v>
      </c>
      <c r="AV12" s="41">
        <v>6744.0</v>
      </c>
      <c r="AW12" s="41">
        <v>4817.0</v>
      </c>
      <c r="BA12" s="45">
        <v>2627.0</v>
      </c>
      <c r="BB12" s="45">
        <v>1751.0</v>
      </c>
    </row>
    <row r="13" ht="12.75" customHeight="1">
      <c r="A13" s="34">
        <v>8.0</v>
      </c>
      <c r="B13" s="45">
        <v>1586.0</v>
      </c>
      <c r="E13" s="45">
        <v>1322.0</v>
      </c>
      <c r="K13" s="45">
        <v>6610.0</v>
      </c>
      <c r="L13" s="45">
        <v>8814.0</v>
      </c>
      <c r="M13" s="45">
        <v>5288.0</v>
      </c>
      <c r="T13" s="45">
        <v>11017.0</v>
      </c>
      <c r="U13" s="45">
        <v>2203.0</v>
      </c>
      <c r="W13" s="45">
        <v>7051.0</v>
      </c>
      <c r="AU13" s="45">
        <v>9695.0</v>
      </c>
      <c r="AV13" s="45">
        <v>6786.0</v>
      </c>
      <c r="AW13" s="45">
        <v>4847.0</v>
      </c>
      <c r="BA13" s="45">
        <v>2644.0</v>
      </c>
      <c r="BB13" s="45">
        <v>1762.0</v>
      </c>
    </row>
    <row r="14" ht="12.75" customHeight="1">
      <c r="A14" s="34">
        <v>9.0</v>
      </c>
      <c r="B14" s="45">
        <v>1597.0</v>
      </c>
      <c r="E14" s="45">
        <v>1330.0</v>
      </c>
      <c r="K14" s="41">
        <v>6654.0</v>
      </c>
      <c r="L14" s="41">
        <v>8872.0</v>
      </c>
      <c r="M14" s="41">
        <v>5323.0</v>
      </c>
      <c r="T14" s="45">
        <v>11091.0</v>
      </c>
      <c r="U14" s="45">
        <v>2218.0</v>
      </c>
      <c r="AO14" s="41">
        <v>7895.0</v>
      </c>
      <c r="AP14" s="41">
        <v>1597.0</v>
      </c>
      <c r="AQ14" s="41">
        <v>6654.0</v>
      </c>
      <c r="AU14" s="45">
        <v>9760.0</v>
      </c>
      <c r="AV14" s="45">
        <v>6832.0</v>
      </c>
      <c r="AW14" s="45">
        <v>4880.0</v>
      </c>
      <c r="BA14" s="45">
        <v>2661.0</v>
      </c>
      <c r="BB14" s="45">
        <v>1774.0</v>
      </c>
    </row>
    <row r="15" ht="12.75" customHeight="1">
      <c r="A15" s="34">
        <v>10.0</v>
      </c>
      <c r="B15" s="45">
        <v>1608.0</v>
      </c>
      <c r="E15" s="45">
        <v>1340.0</v>
      </c>
      <c r="K15" s="45">
        <v>6701.0</v>
      </c>
      <c r="L15" s="45">
        <v>8935.0</v>
      </c>
      <c r="M15" s="45">
        <v>5361.0</v>
      </c>
      <c r="T15" s="45">
        <v>11169.0</v>
      </c>
      <c r="U15" s="45">
        <v>2233.0</v>
      </c>
      <c r="AO15" s="45">
        <v>8042.0</v>
      </c>
      <c r="AP15" s="45">
        <v>1608.0</v>
      </c>
      <c r="AQ15" s="45">
        <v>6701.0</v>
      </c>
      <c r="AU15" s="45">
        <v>9829.0</v>
      </c>
      <c r="AV15" s="45">
        <v>6880.0</v>
      </c>
      <c r="AW15" s="45">
        <v>4914.0</v>
      </c>
      <c r="BA15" s="45">
        <v>2680.0</v>
      </c>
      <c r="BB15" s="45">
        <v>1787.0</v>
      </c>
    </row>
    <row r="16" ht="12.75" customHeight="1">
      <c r="A16" s="34">
        <v>11.0</v>
      </c>
      <c r="B16" s="41">
        <v>1620.0</v>
      </c>
      <c r="E16" s="45">
        <v>1350.0</v>
      </c>
      <c r="K16" s="45">
        <v>6752.0</v>
      </c>
      <c r="L16" s="45">
        <v>9003.0</v>
      </c>
      <c r="M16" s="45">
        <v>5401.0</v>
      </c>
      <c r="T16" s="45">
        <v>11253.0</v>
      </c>
      <c r="U16" s="45">
        <v>2250.0</v>
      </c>
      <c r="AO16" s="45">
        <v>8102.0</v>
      </c>
      <c r="AP16" s="45">
        <v>1620.0</v>
      </c>
      <c r="AQ16" s="45">
        <v>6752.0</v>
      </c>
      <c r="AU16" s="45">
        <v>9903.0</v>
      </c>
      <c r="AV16" s="45">
        <v>6932.0</v>
      </c>
      <c r="AW16" s="45">
        <v>4951.0</v>
      </c>
      <c r="BA16" s="45">
        <v>2700.0</v>
      </c>
      <c r="BB16" s="45">
        <v>1800.0</v>
      </c>
    </row>
    <row r="17" ht="12.75" customHeight="1">
      <c r="A17" s="34">
        <v>12.0</v>
      </c>
      <c r="B17" s="41">
        <v>1633.0</v>
      </c>
      <c r="E17" s="45">
        <v>1361.0</v>
      </c>
      <c r="K17" s="45">
        <v>6805.0</v>
      </c>
      <c r="L17" s="45">
        <v>9074.0</v>
      </c>
      <c r="M17" s="45">
        <v>5444.0</v>
      </c>
      <c r="AO17" s="45">
        <v>8166.0</v>
      </c>
      <c r="AP17" s="45">
        <v>1633.0</v>
      </c>
      <c r="AQ17" s="45">
        <v>6805.0</v>
      </c>
      <c r="AU17" s="45">
        <v>9981.0</v>
      </c>
      <c r="AV17" s="45">
        <v>6987.0</v>
      </c>
      <c r="AW17" s="45">
        <v>4990.0</v>
      </c>
    </row>
    <row r="18" ht="12.75" customHeight="1">
      <c r="A18" s="34">
        <v>13.0</v>
      </c>
      <c r="B18" s="41">
        <v>1647.0</v>
      </c>
      <c r="K18" s="45">
        <v>6865.0</v>
      </c>
      <c r="L18" s="45">
        <v>9154.0</v>
      </c>
      <c r="M18" s="45">
        <v>5492.0</v>
      </c>
      <c r="AO18" s="41">
        <v>8238.0</v>
      </c>
      <c r="AP18" s="41">
        <v>1647.0</v>
      </c>
      <c r="AQ18" s="41">
        <v>6865.0</v>
      </c>
    </row>
    <row r="19" ht="12.75" customHeight="1">
      <c r="A19" s="34">
        <v>14.0</v>
      </c>
      <c r="B19" s="45">
        <v>1662.0</v>
      </c>
      <c r="E19" s="41">
        <v>1385.0</v>
      </c>
      <c r="K19" s="45">
        <v>6928.0</v>
      </c>
      <c r="L19" s="45">
        <v>9238.0</v>
      </c>
      <c r="M19" s="45">
        <v>5542.0</v>
      </c>
      <c r="AO19" s="41">
        <v>8314.0</v>
      </c>
      <c r="AP19" s="41">
        <v>1662.0</v>
      </c>
      <c r="AQ19" s="41">
        <v>6928.0</v>
      </c>
    </row>
    <row r="20" ht="12.75" customHeight="1">
      <c r="A20" s="34">
        <v>15.0</v>
      </c>
      <c r="B20" s="41">
        <v>1679.0</v>
      </c>
      <c r="E20" s="41">
        <v>1399.0</v>
      </c>
      <c r="H20" s="41">
        <v>2519.0</v>
      </c>
      <c r="T20" s="61">
        <v>11663.0</v>
      </c>
      <c r="U20" s="61">
        <v>2332.0</v>
      </c>
      <c r="AF20" s="41">
        <v>1819.0</v>
      </c>
      <c r="AO20" s="41">
        <v>8397.0</v>
      </c>
      <c r="AP20" s="41">
        <v>1679.0</v>
      </c>
      <c r="AQ20" s="41">
        <v>6997.0</v>
      </c>
      <c r="AU20" s="41">
        <v>10263.0</v>
      </c>
      <c r="AV20" s="41">
        <v>7184.0</v>
      </c>
      <c r="AW20" s="41">
        <v>5131.0</v>
      </c>
      <c r="AX20" s="41">
        <v>8379.0</v>
      </c>
      <c r="AY20" s="41">
        <v>4198.0</v>
      </c>
      <c r="BG20" s="41">
        <v>4665.0</v>
      </c>
      <c r="BH20" s="41">
        <v>8397.0</v>
      </c>
      <c r="BI20" s="41">
        <v>10263.0</v>
      </c>
    </row>
    <row r="21" ht="12.75" customHeight="1">
      <c r="A21" s="34">
        <v>16.0</v>
      </c>
      <c r="B21" s="45">
        <v>1696.0</v>
      </c>
      <c r="E21" s="41">
        <v>1414.0</v>
      </c>
      <c r="H21" s="45">
        <v>2545.0</v>
      </c>
      <c r="T21" s="41">
        <v>11784.0</v>
      </c>
      <c r="U21" s="41">
        <v>2356.0</v>
      </c>
      <c r="Z21" s="41">
        <v>9427.0</v>
      </c>
      <c r="AA21" s="41">
        <v>5656.0</v>
      </c>
      <c r="AF21" s="41">
        <v>1838.0</v>
      </c>
      <c r="AI21" s="41">
        <v>1838.0</v>
      </c>
      <c r="AO21" s="45">
        <v>8484.0</v>
      </c>
      <c r="AP21" s="45">
        <v>1696.0</v>
      </c>
      <c r="AQ21" s="45">
        <v>7070.0</v>
      </c>
      <c r="AR21" s="41">
        <v>16968.0</v>
      </c>
      <c r="AS21" s="41">
        <v>2403.0</v>
      </c>
      <c r="AT21" s="41">
        <v>11784.0</v>
      </c>
      <c r="AU21" s="45">
        <v>10369.0</v>
      </c>
      <c r="AV21" s="45">
        <v>7258.0</v>
      </c>
      <c r="AW21" s="45">
        <v>5184.0</v>
      </c>
      <c r="AX21" s="45">
        <v>8484.0</v>
      </c>
      <c r="AY21" s="45">
        <v>4242.0</v>
      </c>
      <c r="BA21" s="41">
        <v>2828.0</v>
      </c>
      <c r="BB21" s="41">
        <v>1885.0</v>
      </c>
      <c r="BD21" s="41">
        <v>1885.0</v>
      </c>
      <c r="BE21" s="41">
        <v>5656.0</v>
      </c>
      <c r="BG21" s="45">
        <v>4713.0</v>
      </c>
      <c r="BH21" s="45">
        <v>8484.0</v>
      </c>
      <c r="BI21" s="45">
        <v>10369.0</v>
      </c>
    </row>
    <row r="22" ht="12.75" customHeight="1">
      <c r="A22" s="34">
        <v>17.0</v>
      </c>
      <c r="B22" s="45">
        <v>1715.0</v>
      </c>
      <c r="E22" s="41">
        <v>1429.0</v>
      </c>
      <c r="H22" s="45">
        <v>2573.0</v>
      </c>
      <c r="T22" s="45">
        <v>11915.0</v>
      </c>
      <c r="U22" s="45">
        <v>2383.0</v>
      </c>
      <c r="W22" s="41">
        <v>7625.0</v>
      </c>
      <c r="Z22" s="45">
        <v>9532.0</v>
      </c>
      <c r="AA22" s="45">
        <v>5719.0</v>
      </c>
      <c r="AF22" s="45">
        <v>1858.0</v>
      </c>
      <c r="AI22" s="41">
        <v>1858.0</v>
      </c>
      <c r="AL22" s="41">
        <v>2573.0</v>
      </c>
      <c r="AM22" s="41">
        <v>3717.0</v>
      </c>
      <c r="AO22" s="45">
        <v>8578.0</v>
      </c>
      <c r="AP22" s="45">
        <v>1715.0</v>
      </c>
      <c r="AQ22" s="45">
        <v>7149.0</v>
      </c>
      <c r="AR22" s="41">
        <v>17157.0</v>
      </c>
      <c r="AS22" s="41">
        <v>2430.0</v>
      </c>
      <c r="AT22" s="41">
        <v>11915.0</v>
      </c>
      <c r="AU22" s="45">
        <v>10485.0</v>
      </c>
      <c r="AV22" s="45">
        <v>7339.0</v>
      </c>
      <c r="AW22" s="45">
        <v>5242.0</v>
      </c>
      <c r="AX22" s="45">
        <v>8578.0</v>
      </c>
      <c r="AY22" s="45">
        <v>4289.0</v>
      </c>
      <c r="BA22" s="45">
        <v>2859.0</v>
      </c>
      <c r="BB22" s="45">
        <v>1906.0</v>
      </c>
      <c r="BG22" s="41">
        <v>4766.0</v>
      </c>
      <c r="BH22" s="41">
        <v>8578.0</v>
      </c>
      <c r="BI22" s="41">
        <v>10485.0</v>
      </c>
    </row>
    <row r="23" ht="12.75" customHeight="1">
      <c r="A23" s="34">
        <v>18.0</v>
      </c>
      <c r="B23" s="41">
        <v>1736.0</v>
      </c>
      <c r="E23" s="41">
        <v>1446.0</v>
      </c>
      <c r="H23" s="41">
        <v>2604.0</v>
      </c>
      <c r="K23" s="41">
        <v>7234.0</v>
      </c>
      <c r="L23" s="41">
        <v>9645.0</v>
      </c>
      <c r="M23" s="41">
        <v>5787.0</v>
      </c>
      <c r="Q23" s="41">
        <v>28936.0</v>
      </c>
      <c r="R23" s="41">
        <v>2411.0</v>
      </c>
      <c r="T23" s="41">
        <v>12057.0</v>
      </c>
      <c r="U23" s="41">
        <v>2411.0</v>
      </c>
      <c r="W23" s="45">
        <v>7716.0</v>
      </c>
      <c r="Z23" s="45">
        <v>9645.0</v>
      </c>
      <c r="AA23" s="45">
        <v>5787.0</v>
      </c>
      <c r="AF23" s="45">
        <v>1880.0</v>
      </c>
      <c r="AI23" s="41">
        <v>1880.0</v>
      </c>
      <c r="AL23" s="45">
        <v>2604.0</v>
      </c>
      <c r="AM23" s="45">
        <v>3761.0</v>
      </c>
      <c r="AO23" s="41">
        <v>8681.0</v>
      </c>
      <c r="AP23" s="41">
        <v>1736.0</v>
      </c>
      <c r="AQ23" s="41">
        <v>7234.0</v>
      </c>
      <c r="AR23" s="45">
        <v>17362.0</v>
      </c>
      <c r="AS23" s="45">
        <v>2459.0</v>
      </c>
      <c r="AT23" s="45">
        <v>12057.0</v>
      </c>
      <c r="AU23" s="41">
        <v>10610.0</v>
      </c>
      <c r="AV23" s="41">
        <v>7427.0</v>
      </c>
      <c r="AW23" s="41">
        <v>5305.0</v>
      </c>
      <c r="AX23" s="45">
        <v>8681.0</v>
      </c>
      <c r="AY23" s="45">
        <v>4340.0</v>
      </c>
      <c r="BA23" s="41">
        <v>2893.0</v>
      </c>
      <c r="BB23" s="41">
        <v>1929.0</v>
      </c>
      <c r="BG23" s="41">
        <v>4822.0</v>
      </c>
      <c r="BH23" s="41">
        <v>8681.0</v>
      </c>
      <c r="BI23" s="41">
        <v>10610.0</v>
      </c>
    </row>
    <row r="24" ht="12.75" customHeight="1">
      <c r="A24" s="34">
        <v>19.0</v>
      </c>
      <c r="B24" s="41">
        <v>1758.0</v>
      </c>
      <c r="E24" s="45">
        <v>1465.0</v>
      </c>
      <c r="H24" s="45">
        <v>2637.0</v>
      </c>
      <c r="K24" s="45">
        <v>7325.0</v>
      </c>
      <c r="L24" s="45">
        <v>9767.0</v>
      </c>
      <c r="M24" s="45">
        <v>5860.0</v>
      </c>
      <c r="Q24" s="45">
        <v>29302.0</v>
      </c>
      <c r="R24" s="45">
        <v>2441.0</v>
      </c>
      <c r="T24" s="41">
        <v>12209.0</v>
      </c>
      <c r="U24" s="41">
        <v>2441.0</v>
      </c>
      <c r="W24" s="45">
        <v>7813.0</v>
      </c>
      <c r="Z24" s="45">
        <v>9767.0</v>
      </c>
      <c r="AA24" s="45">
        <v>5860.0</v>
      </c>
      <c r="AF24" s="71">
        <v>1904.0</v>
      </c>
      <c r="AI24" s="41">
        <v>1904.0</v>
      </c>
      <c r="AL24" s="41">
        <v>2637.0</v>
      </c>
      <c r="AM24" s="41">
        <v>3809.0</v>
      </c>
      <c r="AO24" s="45">
        <v>8790.0</v>
      </c>
      <c r="AP24" s="45">
        <v>1758.0</v>
      </c>
      <c r="AQ24" s="45">
        <v>7325.0</v>
      </c>
      <c r="AR24" s="41">
        <v>17581.0</v>
      </c>
      <c r="AS24" s="41">
        <v>2490.0</v>
      </c>
      <c r="AT24" s="41">
        <v>12209.0</v>
      </c>
      <c r="AU24" s="45">
        <v>10744.0</v>
      </c>
      <c r="AV24" s="45">
        <v>7520.0</v>
      </c>
      <c r="AW24" s="45">
        <v>5372.0</v>
      </c>
      <c r="AX24" s="45">
        <v>8790.0</v>
      </c>
      <c r="AY24" s="45">
        <v>4395.0</v>
      </c>
      <c r="BA24" s="45">
        <v>2930.0</v>
      </c>
      <c r="BB24" s="45">
        <v>1953.0</v>
      </c>
      <c r="BD24" s="41">
        <v>1953.0</v>
      </c>
      <c r="BE24" s="41">
        <v>5860.0</v>
      </c>
      <c r="BG24" s="41">
        <v>4883.0</v>
      </c>
      <c r="BH24" s="41">
        <v>8790.0</v>
      </c>
      <c r="BI24" s="41">
        <v>10744.0</v>
      </c>
    </row>
    <row r="25" ht="12.75" customHeight="1">
      <c r="A25" s="34">
        <v>20.0</v>
      </c>
      <c r="B25" s="45">
        <v>1782.0</v>
      </c>
      <c r="E25" s="45">
        <v>1485.0</v>
      </c>
      <c r="H25" s="45">
        <v>2673.0</v>
      </c>
      <c r="K25" s="45">
        <v>7426.0</v>
      </c>
      <c r="L25" s="45">
        <v>9901.0</v>
      </c>
      <c r="M25" s="45">
        <v>5941.0</v>
      </c>
      <c r="N25" s="41">
        <v>11882.0</v>
      </c>
      <c r="O25" s="41">
        <v>17823.0</v>
      </c>
      <c r="P25" s="41">
        <v>29705.0</v>
      </c>
      <c r="Q25" s="45">
        <v>29705.0</v>
      </c>
      <c r="R25" s="45">
        <v>2475.0</v>
      </c>
      <c r="T25" s="45">
        <v>12377.0</v>
      </c>
      <c r="U25" s="45">
        <v>2475.0</v>
      </c>
      <c r="W25" s="41">
        <v>7921.0</v>
      </c>
      <c r="Z25" s="41">
        <v>9901.0</v>
      </c>
      <c r="AA25" s="41">
        <v>5941.0</v>
      </c>
      <c r="AF25" s="41">
        <v>1930.0</v>
      </c>
      <c r="AI25" s="41">
        <v>1930.0</v>
      </c>
      <c r="AL25" s="45">
        <v>2673.0</v>
      </c>
      <c r="AM25" s="45">
        <v>3861.0</v>
      </c>
      <c r="AO25" s="41">
        <v>8911.0</v>
      </c>
      <c r="AP25" s="41">
        <v>1782.0</v>
      </c>
      <c r="AQ25" s="41">
        <v>7426.0</v>
      </c>
      <c r="AR25" s="45">
        <v>17823.0</v>
      </c>
      <c r="AS25" s="45">
        <v>2524.0</v>
      </c>
      <c r="AT25" s="45">
        <v>12377.0</v>
      </c>
      <c r="AU25" s="45">
        <v>10891.0</v>
      </c>
      <c r="AV25" s="45">
        <v>7624.0</v>
      </c>
      <c r="AW25" s="45">
        <v>5445.0</v>
      </c>
      <c r="AX25" s="41">
        <v>8911.0</v>
      </c>
      <c r="AY25" s="41">
        <v>4455.0</v>
      </c>
      <c r="BA25" s="45">
        <v>2970.0</v>
      </c>
      <c r="BB25" s="45">
        <v>1980.0</v>
      </c>
      <c r="BG25" s="45">
        <v>4950.0</v>
      </c>
      <c r="BH25" s="45">
        <v>8911.0</v>
      </c>
      <c r="BI25" s="45">
        <v>10891.0</v>
      </c>
    </row>
    <row r="26" ht="12.75" customHeight="1">
      <c r="A26" s="34">
        <v>21.0</v>
      </c>
      <c r="B26" s="45">
        <v>1808.0</v>
      </c>
      <c r="E26" s="45">
        <v>1506.0</v>
      </c>
      <c r="H26" s="45">
        <v>2712.0</v>
      </c>
      <c r="K26" s="45">
        <v>7533.0</v>
      </c>
      <c r="L26" s="45">
        <v>10044.0</v>
      </c>
      <c r="M26" s="45">
        <v>6026.0</v>
      </c>
      <c r="N26" s="45">
        <v>12053.0</v>
      </c>
      <c r="O26" s="45">
        <v>18080.0</v>
      </c>
      <c r="P26" s="45">
        <v>30133.0</v>
      </c>
      <c r="Q26" s="45">
        <v>30133.0</v>
      </c>
      <c r="R26" s="45">
        <v>2511.0</v>
      </c>
      <c r="T26" s="45">
        <v>12555.0</v>
      </c>
      <c r="U26" s="45">
        <v>2511.0</v>
      </c>
      <c r="W26" s="45">
        <v>8035.0</v>
      </c>
      <c r="Z26" s="45">
        <v>10044.0</v>
      </c>
      <c r="AA26" s="45">
        <v>6026.0</v>
      </c>
      <c r="AF26" s="45">
        <v>1958.0</v>
      </c>
      <c r="AI26" s="41">
        <v>1958.0</v>
      </c>
      <c r="AL26" s="45">
        <v>2712.0</v>
      </c>
      <c r="AM26" s="45">
        <v>3917.0</v>
      </c>
      <c r="AO26" s="45">
        <v>9040.0</v>
      </c>
      <c r="AP26" s="45">
        <v>1808.0</v>
      </c>
      <c r="AQ26" s="45">
        <v>7533.0</v>
      </c>
      <c r="AR26" s="45">
        <v>18080.0</v>
      </c>
      <c r="AS26" s="45">
        <v>2561.0</v>
      </c>
      <c r="AT26" s="45">
        <v>12555.0</v>
      </c>
      <c r="AU26" s="45">
        <v>11049.0</v>
      </c>
      <c r="AV26" s="45">
        <v>7734.0</v>
      </c>
      <c r="AW26" s="45">
        <v>5524.0</v>
      </c>
      <c r="AX26" s="45">
        <v>9040.0</v>
      </c>
      <c r="AY26" s="45">
        <v>4520.0</v>
      </c>
      <c r="BA26" s="41">
        <v>3013.0</v>
      </c>
      <c r="BB26" s="41">
        <v>2008.0</v>
      </c>
      <c r="BG26" s="45">
        <v>5022.0</v>
      </c>
      <c r="BH26" s="45">
        <v>9040.0</v>
      </c>
      <c r="BI26" s="45">
        <v>11049.0</v>
      </c>
    </row>
    <row r="27" ht="12.75" customHeight="1">
      <c r="A27" s="34">
        <v>22.0</v>
      </c>
      <c r="B27" s="41">
        <v>1836.0</v>
      </c>
      <c r="E27" s="45">
        <v>1530.0</v>
      </c>
      <c r="H27" s="41">
        <v>2754.0</v>
      </c>
      <c r="K27" s="41">
        <v>7650.0</v>
      </c>
      <c r="L27" s="41">
        <v>10200.0</v>
      </c>
      <c r="M27" s="41">
        <v>6120.0</v>
      </c>
      <c r="N27" s="45">
        <v>12240.0</v>
      </c>
      <c r="O27" s="45">
        <v>18360.0</v>
      </c>
      <c r="P27" s="45">
        <v>30600.0</v>
      </c>
      <c r="Q27" s="41">
        <v>30600.0</v>
      </c>
      <c r="R27" s="41">
        <v>2550.0</v>
      </c>
      <c r="T27" s="45">
        <v>12750.0</v>
      </c>
      <c r="U27" s="45">
        <v>2550.0</v>
      </c>
      <c r="W27" s="45">
        <v>8160.0</v>
      </c>
      <c r="Z27" s="45">
        <v>10200.0</v>
      </c>
      <c r="AA27" s="45">
        <v>6120.0</v>
      </c>
      <c r="AF27" s="45">
        <v>1989.0</v>
      </c>
      <c r="AI27" s="45">
        <v>1989.0</v>
      </c>
      <c r="AL27" s="41">
        <v>2754.0</v>
      </c>
      <c r="AM27" s="41">
        <v>3978.0</v>
      </c>
      <c r="AO27" s="45">
        <v>9180.0</v>
      </c>
      <c r="AP27" s="45">
        <v>1836.0</v>
      </c>
      <c r="AQ27" s="45">
        <v>7650.0</v>
      </c>
      <c r="AR27" s="45">
        <v>18360.0</v>
      </c>
      <c r="AS27" s="45">
        <v>2601.0</v>
      </c>
      <c r="AT27" s="45">
        <v>12750.0</v>
      </c>
      <c r="AU27" s="45">
        <v>11220.0</v>
      </c>
      <c r="AV27" s="45">
        <v>7854.0</v>
      </c>
      <c r="AW27" s="45">
        <v>5610.0</v>
      </c>
      <c r="AX27" s="45">
        <v>9180.0</v>
      </c>
      <c r="AY27" s="45">
        <v>4590.0</v>
      </c>
      <c r="BA27" s="45">
        <v>3060.0</v>
      </c>
      <c r="BB27" s="45">
        <v>2040.0</v>
      </c>
      <c r="BG27" s="45">
        <v>5100.0</v>
      </c>
      <c r="BH27" s="45">
        <v>9180.0</v>
      </c>
      <c r="BI27" s="45">
        <v>11220.0</v>
      </c>
    </row>
    <row r="28" ht="12.75" customHeight="1">
      <c r="A28" s="34">
        <v>23.0</v>
      </c>
      <c r="B28" s="41">
        <v>1866.0</v>
      </c>
      <c r="E28" s="45">
        <v>1555.0</v>
      </c>
      <c r="H28" s="45">
        <v>2799.0</v>
      </c>
      <c r="K28" s="45">
        <v>7776.0</v>
      </c>
      <c r="L28" s="45">
        <v>10368.0</v>
      </c>
      <c r="M28" s="45">
        <v>6220.0</v>
      </c>
      <c r="N28" s="45">
        <v>12441.0</v>
      </c>
      <c r="O28" s="45">
        <v>18662.0</v>
      </c>
      <c r="P28" s="45">
        <v>31104.0</v>
      </c>
      <c r="Q28" s="45">
        <v>31104.0</v>
      </c>
      <c r="R28" s="45">
        <v>2592.0</v>
      </c>
      <c r="T28" s="45">
        <v>12960.0</v>
      </c>
      <c r="U28" s="45">
        <v>2592.0</v>
      </c>
      <c r="W28" s="45">
        <v>8294.0</v>
      </c>
      <c r="Z28" s="45">
        <v>10368.0</v>
      </c>
      <c r="AA28" s="45">
        <v>6220.0</v>
      </c>
      <c r="AF28" s="45">
        <v>2021.0</v>
      </c>
      <c r="AI28" s="41">
        <v>2021.0</v>
      </c>
      <c r="AL28" s="45">
        <v>2799.0</v>
      </c>
      <c r="AM28" s="45">
        <v>4043.0</v>
      </c>
      <c r="AO28" s="45">
        <v>9331.0</v>
      </c>
      <c r="AP28" s="45">
        <v>1866.0</v>
      </c>
      <c r="AQ28" s="45">
        <v>7776.0</v>
      </c>
      <c r="AR28" s="45">
        <v>18662.0</v>
      </c>
      <c r="AS28" s="45">
        <v>2643.0</v>
      </c>
      <c r="AT28" s="45">
        <v>12960.0</v>
      </c>
      <c r="AU28" s="45">
        <v>11404.0</v>
      </c>
      <c r="AV28" s="45">
        <v>7983.0</v>
      </c>
      <c r="AW28" s="45">
        <v>5702.0</v>
      </c>
      <c r="AX28" s="45">
        <v>9331.0</v>
      </c>
      <c r="AY28" s="45">
        <v>4665.0</v>
      </c>
      <c r="BA28" s="41">
        <v>3110.0</v>
      </c>
      <c r="BB28" s="41">
        <v>2073.0</v>
      </c>
      <c r="BG28" s="45">
        <v>5184.0</v>
      </c>
      <c r="BH28" s="45">
        <v>9331.0</v>
      </c>
      <c r="BI28" s="45">
        <v>11404.0</v>
      </c>
    </row>
    <row r="29" ht="12.75" customHeight="1">
      <c r="A29" s="34">
        <v>24.0</v>
      </c>
      <c r="B29" s="45">
        <v>1898.0</v>
      </c>
      <c r="E29" s="41">
        <v>1582.0</v>
      </c>
      <c r="H29" s="41">
        <v>2848.0</v>
      </c>
      <c r="K29" s="45">
        <v>7911.0</v>
      </c>
      <c r="L29" s="45">
        <v>10548.0</v>
      </c>
      <c r="M29" s="45">
        <v>6329.0</v>
      </c>
      <c r="N29" s="45">
        <v>12658.0</v>
      </c>
      <c r="O29" s="45">
        <v>18987.0</v>
      </c>
      <c r="P29" s="45">
        <v>31645.0</v>
      </c>
      <c r="Q29" s="41">
        <v>31645.0</v>
      </c>
      <c r="R29" s="41">
        <v>2637.0</v>
      </c>
      <c r="T29" s="41">
        <v>13185.0</v>
      </c>
      <c r="U29" s="41">
        <v>2637.0</v>
      </c>
      <c r="W29" s="41">
        <v>8438.0</v>
      </c>
      <c r="Z29" s="45">
        <v>10548.0</v>
      </c>
      <c r="AA29" s="45">
        <v>6329.0</v>
      </c>
      <c r="AF29" s="41">
        <v>2056.0</v>
      </c>
      <c r="AI29" s="45">
        <v>2056.0</v>
      </c>
      <c r="AL29" s="45">
        <v>2848.0</v>
      </c>
      <c r="AM29" s="45">
        <v>4113.0</v>
      </c>
      <c r="AO29" s="45">
        <v>9493.0</v>
      </c>
      <c r="AP29" s="45">
        <v>1898.0</v>
      </c>
      <c r="AQ29" s="45">
        <v>7911.0</v>
      </c>
      <c r="AR29" s="45">
        <v>18987.0</v>
      </c>
      <c r="AS29" s="45">
        <v>2689.0</v>
      </c>
      <c r="AT29" s="45">
        <v>13185.0</v>
      </c>
      <c r="AX29" s="45">
        <v>9493.0</v>
      </c>
      <c r="AY29" s="45">
        <v>4746.0</v>
      </c>
      <c r="BA29" s="41">
        <v>3164.0</v>
      </c>
      <c r="BB29" s="41">
        <v>2109.0</v>
      </c>
      <c r="BD29" s="41">
        <v>2109.0</v>
      </c>
      <c r="BE29" s="41">
        <v>6329.0</v>
      </c>
      <c r="BG29" s="45">
        <v>5274.0</v>
      </c>
      <c r="BH29" s="45">
        <v>9493.0</v>
      </c>
      <c r="BI29" s="45">
        <v>11603.0</v>
      </c>
    </row>
    <row r="30" ht="12.75" customHeight="1">
      <c r="A30" s="34">
        <v>25.0</v>
      </c>
      <c r="B30" s="41">
        <v>1934.0</v>
      </c>
      <c r="E30" s="45">
        <v>1611.0</v>
      </c>
      <c r="H30" s="45">
        <v>2901.0</v>
      </c>
      <c r="K30" s="41">
        <v>8059.0</v>
      </c>
      <c r="L30" s="41">
        <v>10746.0</v>
      </c>
      <c r="M30" s="41">
        <v>6447.0</v>
      </c>
      <c r="N30" s="41">
        <v>12895.0</v>
      </c>
      <c r="O30" s="41">
        <v>19342.0</v>
      </c>
      <c r="P30" s="41">
        <v>32238.0</v>
      </c>
      <c r="Q30" s="45">
        <v>32238.0</v>
      </c>
      <c r="R30" s="45">
        <v>2686.0</v>
      </c>
      <c r="T30" s="45">
        <v>13432.0</v>
      </c>
      <c r="U30" s="45">
        <v>2686.0</v>
      </c>
      <c r="W30" s="41">
        <v>8596.0</v>
      </c>
      <c r="Z30" s="45">
        <v>10746.0</v>
      </c>
      <c r="AA30" s="45">
        <v>6447.0</v>
      </c>
      <c r="AF30" s="41">
        <v>2095.0</v>
      </c>
      <c r="AI30" s="45">
        <v>2095.0</v>
      </c>
      <c r="AL30" s="41">
        <v>2901.0</v>
      </c>
      <c r="AM30" s="41">
        <v>4190.0</v>
      </c>
      <c r="AO30" s="41">
        <v>9671.0</v>
      </c>
      <c r="AP30" s="41">
        <v>1934.0</v>
      </c>
      <c r="AQ30" s="41">
        <v>8059.0</v>
      </c>
      <c r="AU30" s="41">
        <v>11820.0</v>
      </c>
      <c r="AV30" s="41">
        <v>8274.0</v>
      </c>
      <c r="AW30" s="41">
        <v>5910.0</v>
      </c>
      <c r="AX30" s="45">
        <v>9671.0</v>
      </c>
      <c r="AY30" s="45">
        <v>4835.0</v>
      </c>
      <c r="BA30" s="45">
        <v>3223.0</v>
      </c>
      <c r="BB30" s="45">
        <v>2149.0</v>
      </c>
      <c r="BD30" s="41">
        <v>2149.0</v>
      </c>
      <c r="BE30" s="41">
        <v>6447.0</v>
      </c>
    </row>
    <row r="31" ht="12.75" customHeight="1">
      <c r="A31" s="34">
        <v>26.0</v>
      </c>
      <c r="B31" s="41">
        <v>1972.0</v>
      </c>
      <c r="E31" s="41">
        <v>1643.0</v>
      </c>
      <c r="H31" s="45">
        <v>2958.0</v>
      </c>
      <c r="K31" s="41">
        <v>8217.0</v>
      </c>
      <c r="L31" s="41">
        <v>10956.0</v>
      </c>
      <c r="M31" s="41">
        <v>6573.0</v>
      </c>
      <c r="N31" s="45">
        <v>13147.0</v>
      </c>
      <c r="O31" s="45">
        <v>19720.0</v>
      </c>
      <c r="P31" s="45">
        <v>32868.0</v>
      </c>
      <c r="Q31" s="45">
        <v>32868.0</v>
      </c>
      <c r="R31" s="45">
        <v>2739.0</v>
      </c>
      <c r="T31" s="45">
        <v>13695.0</v>
      </c>
      <c r="U31" s="45">
        <v>2739.0</v>
      </c>
      <c r="W31" s="45">
        <v>8764.0</v>
      </c>
      <c r="AF31" s="45">
        <v>2136.0</v>
      </c>
      <c r="AI31" s="41">
        <v>2136.0</v>
      </c>
      <c r="AL31" s="45">
        <v>2958.0</v>
      </c>
      <c r="AM31" s="45">
        <v>4272.0</v>
      </c>
      <c r="AO31" s="45">
        <v>9860.0</v>
      </c>
      <c r="AP31" s="45">
        <v>1972.0</v>
      </c>
      <c r="AQ31" s="45">
        <v>8217.0</v>
      </c>
      <c r="AR31" s="41">
        <v>19720.0</v>
      </c>
      <c r="AS31" s="41">
        <v>2793.0</v>
      </c>
      <c r="AT31" s="41">
        <v>13695.0</v>
      </c>
      <c r="AU31" s="45">
        <v>12051.0</v>
      </c>
      <c r="AV31" s="45">
        <v>8436.0</v>
      </c>
      <c r="AW31" s="45">
        <v>6025.0</v>
      </c>
      <c r="BA31" s="41">
        <v>3286.0</v>
      </c>
      <c r="BB31" s="41">
        <v>2191.0</v>
      </c>
      <c r="BD31" s="41">
        <v>2191.0</v>
      </c>
      <c r="BE31" s="41">
        <v>6573.0</v>
      </c>
    </row>
    <row r="32" ht="12.75" customHeight="1">
      <c r="A32" s="34">
        <v>27.0</v>
      </c>
      <c r="B32" s="45">
        <v>2012.0</v>
      </c>
      <c r="E32" s="41">
        <v>1677.0</v>
      </c>
      <c r="H32" s="45">
        <v>3019.0</v>
      </c>
      <c r="K32" s="41">
        <v>8387.0</v>
      </c>
      <c r="L32" s="41">
        <v>11182.0</v>
      </c>
      <c r="M32" s="41">
        <v>6709.0</v>
      </c>
      <c r="N32" s="41">
        <v>13419.0</v>
      </c>
      <c r="O32" s="41">
        <v>20129.0</v>
      </c>
      <c r="P32" s="41">
        <v>33548.0</v>
      </c>
      <c r="Q32" s="45">
        <v>33548.0</v>
      </c>
      <c r="R32" s="45">
        <v>2795.0</v>
      </c>
      <c r="T32" s="45">
        <v>13978.0</v>
      </c>
      <c r="U32" s="45">
        <v>2795.0</v>
      </c>
      <c r="W32" s="45">
        <v>8946.0</v>
      </c>
      <c r="AF32" s="41">
        <v>2180.0</v>
      </c>
      <c r="AI32" s="45">
        <v>2180.0</v>
      </c>
      <c r="AL32" s="41">
        <v>3019.0</v>
      </c>
      <c r="AM32" s="41">
        <v>4361.0</v>
      </c>
      <c r="AO32" s="45">
        <v>10064.0</v>
      </c>
      <c r="AP32" s="45">
        <v>2012.0</v>
      </c>
      <c r="AQ32" s="45">
        <v>8387.0</v>
      </c>
      <c r="AR32" s="45">
        <v>20129.0</v>
      </c>
      <c r="AS32" s="45">
        <v>2851.0</v>
      </c>
      <c r="AT32" s="45">
        <v>13978.0</v>
      </c>
      <c r="AU32" s="41">
        <v>12301.0</v>
      </c>
      <c r="AV32" s="41">
        <v>8610.0</v>
      </c>
      <c r="AW32" s="41">
        <v>6150.0</v>
      </c>
      <c r="BA32" s="41">
        <v>3354.0</v>
      </c>
      <c r="BB32" s="41">
        <v>2236.0</v>
      </c>
    </row>
    <row r="33" ht="12.75" customHeight="1">
      <c r="A33" s="34">
        <v>28.0</v>
      </c>
      <c r="B33" s="41">
        <v>2057.0</v>
      </c>
      <c r="E33" s="45">
        <v>1714.0</v>
      </c>
      <c r="H33" s="45">
        <v>3086.0</v>
      </c>
      <c r="K33" s="41">
        <v>8572.0</v>
      </c>
      <c r="L33" s="41">
        <v>11430.0</v>
      </c>
      <c r="M33" s="41">
        <v>6858.0</v>
      </c>
      <c r="N33" s="45">
        <v>13716.0</v>
      </c>
      <c r="O33" s="45">
        <v>20575.0</v>
      </c>
      <c r="P33" s="45">
        <v>34291.0</v>
      </c>
      <c r="Q33" s="41">
        <v>34291.0</v>
      </c>
      <c r="R33" s="41">
        <v>2857.0</v>
      </c>
      <c r="T33" s="45">
        <v>14288.0</v>
      </c>
      <c r="U33" s="45">
        <v>2857.0</v>
      </c>
      <c r="W33" s="45">
        <v>9144.0</v>
      </c>
      <c r="Z33" s="41">
        <v>11430.0</v>
      </c>
      <c r="AA33" s="41">
        <v>6858.0</v>
      </c>
      <c r="AF33" s="45">
        <v>2228.0</v>
      </c>
      <c r="AI33" s="45">
        <v>2228.0</v>
      </c>
      <c r="AL33" s="45">
        <v>3086.0</v>
      </c>
      <c r="AM33" s="45">
        <v>4457.0</v>
      </c>
      <c r="AO33" s="41">
        <v>10287.0</v>
      </c>
      <c r="AP33" s="41">
        <v>2057.0</v>
      </c>
      <c r="AQ33" s="41">
        <v>8572.0</v>
      </c>
      <c r="AR33" s="41">
        <v>20575.0</v>
      </c>
      <c r="AS33" s="41">
        <v>2914.0</v>
      </c>
      <c r="AT33" s="41">
        <v>14288.0</v>
      </c>
      <c r="AU33" s="45">
        <v>12573.0</v>
      </c>
      <c r="AV33" s="45">
        <v>8801.0</v>
      </c>
      <c r="AW33" s="45">
        <v>6286.0</v>
      </c>
      <c r="AX33" s="41">
        <v>10287.0</v>
      </c>
      <c r="AY33" s="41">
        <v>5143.0</v>
      </c>
      <c r="BA33" s="45">
        <v>3429.0</v>
      </c>
      <c r="BB33" s="45">
        <v>2286.0</v>
      </c>
    </row>
    <row r="34" ht="12.75" customHeight="1">
      <c r="A34" s="34">
        <v>29.0</v>
      </c>
      <c r="B34" s="45">
        <v>2105.0</v>
      </c>
      <c r="E34" s="45">
        <v>1754.0</v>
      </c>
      <c r="H34" s="45">
        <v>3157.0</v>
      </c>
      <c r="K34" s="41">
        <v>8771.0</v>
      </c>
      <c r="L34" s="41">
        <v>11695.0</v>
      </c>
      <c r="M34" s="41">
        <v>7017.0</v>
      </c>
      <c r="N34" s="45">
        <v>14034.0</v>
      </c>
      <c r="O34" s="45">
        <v>21051.0</v>
      </c>
      <c r="P34" s="45">
        <v>35085.0</v>
      </c>
      <c r="Q34" s="45">
        <v>35085.0</v>
      </c>
      <c r="R34" s="45">
        <v>2923.0</v>
      </c>
      <c r="T34" s="41">
        <v>14619.0</v>
      </c>
      <c r="U34" s="41">
        <v>2923.0</v>
      </c>
      <c r="W34" s="45">
        <v>9356.0</v>
      </c>
      <c r="Z34" s="45">
        <v>11695.0</v>
      </c>
      <c r="AA34" s="45">
        <v>7017.0</v>
      </c>
      <c r="AC34" s="41">
        <v>2631.0</v>
      </c>
      <c r="AF34" s="45">
        <v>2280.0</v>
      </c>
      <c r="AI34" s="45">
        <v>2280.0</v>
      </c>
      <c r="AL34" s="45">
        <v>3157.0</v>
      </c>
      <c r="AM34" s="45">
        <v>4561.0</v>
      </c>
      <c r="AO34" s="45">
        <v>10525.0</v>
      </c>
      <c r="AP34" s="45">
        <v>2105.0</v>
      </c>
      <c r="AQ34" s="45">
        <v>8771.0</v>
      </c>
      <c r="AR34" s="41">
        <v>21051.0</v>
      </c>
      <c r="AS34" s="41">
        <v>2982.0</v>
      </c>
      <c r="AT34" s="41">
        <v>14619.0</v>
      </c>
      <c r="AU34" s="41">
        <v>12864.0</v>
      </c>
      <c r="AV34" s="41">
        <v>9005.0</v>
      </c>
      <c r="AW34" s="41">
        <v>6432.0</v>
      </c>
      <c r="AX34" s="45">
        <v>10525.0</v>
      </c>
      <c r="AY34" s="45">
        <v>5262.0</v>
      </c>
      <c r="BA34" s="45">
        <v>3508.0</v>
      </c>
      <c r="BB34" s="45">
        <v>2339.0</v>
      </c>
      <c r="BG34" s="41">
        <v>5847.0</v>
      </c>
      <c r="BH34" s="41">
        <v>10525.0</v>
      </c>
      <c r="BI34" s="41">
        <v>12864.0</v>
      </c>
    </row>
    <row r="35" ht="12.75" customHeight="1">
      <c r="A35" s="34">
        <v>30.0</v>
      </c>
      <c r="B35" s="41">
        <v>2156.0</v>
      </c>
      <c r="E35" s="41">
        <v>1797.0</v>
      </c>
      <c r="K35" s="41">
        <v>8985.0</v>
      </c>
      <c r="L35" s="41">
        <v>11980.0</v>
      </c>
      <c r="M35" s="41">
        <v>7188.0</v>
      </c>
      <c r="N35" s="45">
        <v>14376.0</v>
      </c>
      <c r="O35" s="45">
        <v>21565.0</v>
      </c>
      <c r="P35" s="45">
        <v>35942.0</v>
      </c>
      <c r="Q35" s="45">
        <v>35942.0</v>
      </c>
      <c r="R35" s="45">
        <v>2995.0</v>
      </c>
      <c r="T35" s="45">
        <v>14976.0</v>
      </c>
      <c r="U35" s="45">
        <v>2995.0</v>
      </c>
      <c r="W35" s="41">
        <v>9584.0</v>
      </c>
      <c r="Z35" s="45">
        <v>11980.0</v>
      </c>
      <c r="AA35" s="45">
        <v>7188.0</v>
      </c>
      <c r="AC35" s="45">
        <v>2695.0</v>
      </c>
      <c r="AF35" s="45">
        <v>2336.0</v>
      </c>
      <c r="AI35" s="41">
        <v>2336.0</v>
      </c>
      <c r="AL35" s="41">
        <v>3234.0</v>
      </c>
      <c r="AM35" s="41">
        <v>4672.0</v>
      </c>
      <c r="AO35" s="41">
        <v>10782.0</v>
      </c>
      <c r="AP35" s="41">
        <v>2156.0</v>
      </c>
      <c r="AQ35" s="41">
        <v>8985.0</v>
      </c>
      <c r="AR35" s="45">
        <v>21565.0</v>
      </c>
      <c r="AS35" s="45">
        <v>3055.0</v>
      </c>
      <c r="AT35" s="45">
        <v>14976.0</v>
      </c>
      <c r="AU35" s="41">
        <v>13178.0</v>
      </c>
      <c r="AV35" s="41">
        <v>9225.0</v>
      </c>
      <c r="AW35" s="41">
        <v>6589.0</v>
      </c>
      <c r="AX35" s="45">
        <v>10782.0</v>
      </c>
      <c r="AY35" s="45">
        <v>5391.0</v>
      </c>
      <c r="BA35" s="45">
        <v>3594.0</v>
      </c>
      <c r="BB35" s="45">
        <v>2396.0</v>
      </c>
      <c r="BG35" s="41">
        <v>5990.0</v>
      </c>
      <c r="BH35" s="41">
        <v>10782.0</v>
      </c>
      <c r="BI35" s="41">
        <v>13178.0</v>
      </c>
    </row>
    <row r="36" ht="12.75" customHeight="1">
      <c r="A36" s="34">
        <v>31.0</v>
      </c>
      <c r="B36" s="41">
        <v>2212.0</v>
      </c>
      <c r="E36" s="41">
        <v>1843.0</v>
      </c>
      <c r="H36" s="41">
        <v>3318.0</v>
      </c>
      <c r="K36" s="41">
        <v>9218.0</v>
      </c>
      <c r="L36" s="41">
        <v>12291.0</v>
      </c>
      <c r="M36" s="41">
        <v>7374.0</v>
      </c>
      <c r="N36" s="45">
        <v>14749.0</v>
      </c>
      <c r="O36" s="45">
        <v>22124.0</v>
      </c>
      <c r="P36" s="45">
        <v>36874.0</v>
      </c>
      <c r="Q36" s="41">
        <v>36874.0</v>
      </c>
      <c r="R36" s="41">
        <v>3072.0</v>
      </c>
      <c r="T36" s="41">
        <v>15364.0</v>
      </c>
      <c r="U36" s="41">
        <v>3072.0</v>
      </c>
      <c r="W36" s="41">
        <v>9833.0</v>
      </c>
      <c r="Z36" s="45">
        <v>12291.0</v>
      </c>
      <c r="AA36" s="45">
        <v>7374.0</v>
      </c>
      <c r="AC36" s="41">
        <v>2765.0</v>
      </c>
      <c r="AF36" s="41">
        <v>2396.0</v>
      </c>
      <c r="AI36" s="41">
        <v>2396.0</v>
      </c>
      <c r="AL36" s="45">
        <v>3318.0</v>
      </c>
      <c r="AM36" s="45">
        <v>4793.0</v>
      </c>
      <c r="AO36" s="45">
        <v>11062.0</v>
      </c>
      <c r="AP36" s="45">
        <v>2212.0</v>
      </c>
      <c r="AQ36" s="45">
        <v>9218.0</v>
      </c>
      <c r="AR36" s="45">
        <v>22124.0</v>
      </c>
      <c r="AS36" s="45">
        <v>3134.0</v>
      </c>
      <c r="AT36" s="45">
        <v>15364.0</v>
      </c>
      <c r="AU36" s="41">
        <v>13520.0</v>
      </c>
      <c r="AV36" s="41">
        <v>9464.0</v>
      </c>
      <c r="AW36" s="41">
        <v>6760.0</v>
      </c>
      <c r="AX36" s="45">
        <v>11062.0</v>
      </c>
      <c r="AY36" s="45">
        <v>5531.0</v>
      </c>
      <c r="BA36" s="45">
        <v>3687.0</v>
      </c>
      <c r="BB36" s="45">
        <v>2458.0</v>
      </c>
      <c r="BD36" s="41">
        <v>2458.0</v>
      </c>
      <c r="BE36" s="41">
        <v>7374.0</v>
      </c>
      <c r="BG36" s="45">
        <v>6145.0</v>
      </c>
      <c r="BH36" s="45">
        <v>11062.0</v>
      </c>
      <c r="BI36" s="45">
        <v>13520.0</v>
      </c>
    </row>
    <row r="37" ht="12.75" customHeight="1">
      <c r="A37" s="34">
        <v>32.0</v>
      </c>
      <c r="B37" s="41">
        <v>2272.0</v>
      </c>
      <c r="E37" s="41">
        <v>1894.0</v>
      </c>
      <c r="H37" s="41">
        <v>3409.0</v>
      </c>
      <c r="K37" s="45">
        <v>9470.0</v>
      </c>
      <c r="L37" s="45">
        <v>12627.0</v>
      </c>
      <c r="M37" s="45">
        <v>7576.0</v>
      </c>
      <c r="N37" s="45">
        <v>15153.0</v>
      </c>
      <c r="O37" s="45">
        <v>22729.0</v>
      </c>
      <c r="P37" s="45">
        <v>37882.0</v>
      </c>
      <c r="Q37" s="45">
        <v>37882.0</v>
      </c>
      <c r="R37" s="45">
        <v>3156.0</v>
      </c>
      <c r="T37" s="45">
        <v>15784.0</v>
      </c>
      <c r="U37" s="45">
        <v>2156.0</v>
      </c>
      <c r="W37" s="45">
        <v>10102.0</v>
      </c>
      <c r="Z37" s="41">
        <v>12627.0</v>
      </c>
      <c r="AA37" s="41">
        <v>6945.0</v>
      </c>
      <c r="AC37" s="45">
        <v>2841.0</v>
      </c>
      <c r="AF37" s="45">
        <v>2462.0</v>
      </c>
      <c r="AI37" s="45">
        <v>2462.0</v>
      </c>
      <c r="AL37" s="41">
        <v>3409.0</v>
      </c>
      <c r="AM37" s="41">
        <v>4924.0</v>
      </c>
      <c r="AO37" s="45">
        <v>11364.0</v>
      </c>
      <c r="AP37" s="45">
        <v>2272.0</v>
      </c>
      <c r="AQ37" s="45">
        <v>9470.0</v>
      </c>
      <c r="AR37" s="41">
        <v>22729.0</v>
      </c>
      <c r="AS37" s="41">
        <v>3220.0</v>
      </c>
      <c r="AT37" s="41">
        <v>15784.0</v>
      </c>
      <c r="AU37" s="45">
        <v>13890.0</v>
      </c>
      <c r="AV37" s="45">
        <v>9723.0</v>
      </c>
      <c r="AW37" s="45">
        <v>6945.0</v>
      </c>
      <c r="AX37" s="45">
        <v>11364.0</v>
      </c>
      <c r="AY37" s="45">
        <v>5682.0</v>
      </c>
      <c r="BA37" s="45">
        <v>3788.0</v>
      </c>
      <c r="BB37" s="45">
        <v>2525.0</v>
      </c>
      <c r="BD37" s="41">
        <v>2525.0</v>
      </c>
      <c r="BE37" s="41">
        <v>7576.0</v>
      </c>
      <c r="BG37" s="41">
        <v>6313.0</v>
      </c>
      <c r="BH37" s="41">
        <v>11364.0</v>
      </c>
      <c r="BI37" s="41">
        <v>13890.0</v>
      </c>
    </row>
    <row r="38" ht="12.75" customHeight="1">
      <c r="A38" s="34">
        <v>33.0</v>
      </c>
      <c r="B38" s="41">
        <v>2337.0</v>
      </c>
      <c r="E38" s="45">
        <v>1948.0</v>
      </c>
      <c r="H38" s="41">
        <v>3506.0</v>
      </c>
      <c r="K38" s="45">
        <v>9741.0</v>
      </c>
      <c r="L38" s="45">
        <v>12988.0</v>
      </c>
      <c r="M38" s="45">
        <v>7793.0</v>
      </c>
      <c r="N38" s="41">
        <v>15586.0</v>
      </c>
      <c r="O38" s="41">
        <v>23379.0</v>
      </c>
      <c r="P38" s="41">
        <v>38966.0</v>
      </c>
      <c r="Q38" s="45">
        <v>38966.0</v>
      </c>
      <c r="R38" s="45">
        <v>3247.0</v>
      </c>
      <c r="T38" s="45">
        <v>16236.0</v>
      </c>
      <c r="U38" s="45">
        <v>3247.0</v>
      </c>
      <c r="W38" s="45">
        <v>10391.0</v>
      </c>
      <c r="Z38" s="45">
        <v>12988.0</v>
      </c>
      <c r="AA38" s="45">
        <v>7143.0</v>
      </c>
      <c r="AC38" s="41">
        <v>2922.0</v>
      </c>
      <c r="AF38" s="45">
        <v>2532.0</v>
      </c>
      <c r="AI38" s="45">
        <v>2532.0</v>
      </c>
      <c r="AL38" s="41">
        <v>3506.0</v>
      </c>
      <c r="AM38" s="41">
        <v>5065.0</v>
      </c>
      <c r="AO38" s="45">
        <v>11689.0</v>
      </c>
      <c r="AP38" s="45">
        <v>2337.0</v>
      </c>
      <c r="AQ38" s="45">
        <v>9741.0</v>
      </c>
      <c r="AR38" s="45">
        <v>23379.0</v>
      </c>
      <c r="AS38" s="45">
        <v>3312.0</v>
      </c>
      <c r="AT38" s="45">
        <v>16236.0</v>
      </c>
      <c r="AU38" s="45">
        <v>14287.0</v>
      </c>
      <c r="AV38" s="45">
        <v>10001.0</v>
      </c>
      <c r="AW38" s="45">
        <v>7143.0</v>
      </c>
      <c r="AX38" s="45">
        <v>11689.0</v>
      </c>
      <c r="AY38" s="45">
        <v>5844.0</v>
      </c>
      <c r="BD38" s="45">
        <v>2597.0</v>
      </c>
      <c r="BE38" s="45">
        <v>7793.0</v>
      </c>
      <c r="BG38" s="45">
        <v>6494.0</v>
      </c>
      <c r="BH38" s="45">
        <v>11689.0</v>
      </c>
      <c r="BI38" s="45">
        <v>14287.0</v>
      </c>
    </row>
    <row r="39" ht="12.75" customHeight="1">
      <c r="A39" s="34">
        <v>34.0</v>
      </c>
      <c r="B39" s="45">
        <v>2408.0</v>
      </c>
      <c r="E39" s="45">
        <v>2006.0</v>
      </c>
      <c r="H39" s="45">
        <v>3612.0</v>
      </c>
      <c r="K39" s="45">
        <v>10034.0</v>
      </c>
      <c r="L39" s="45">
        <v>13379.0</v>
      </c>
      <c r="M39" s="45">
        <v>8027.0</v>
      </c>
      <c r="N39" s="45">
        <v>16055.0</v>
      </c>
      <c r="O39" s="45">
        <v>24082.0</v>
      </c>
      <c r="P39" s="45">
        <v>40138.0</v>
      </c>
      <c r="Q39" s="45">
        <v>40138.0</v>
      </c>
      <c r="R39" s="45">
        <v>3344.0</v>
      </c>
      <c r="T39" s="41">
        <v>16724.0</v>
      </c>
      <c r="U39" s="41">
        <v>3344.0</v>
      </c>
      <c r="W39" s="45">
        <v>10703.0</v>
      </c>
      <c r="Z39" s="45">
        <v>13379.0</v>
      </c>
      <c r="AA39" s="45">
        <v>7358.0</v>
      </c>
      <c r="AC39" s="45">
        <v>3010.0</v>
      </c>
      <c r="AF39" s="45">
        <v>2608.0</v>
      </c>
      <c r="AI39" s="41">
        <v>2608.0</v>
      </c>
      <c r="AL39" s="45">
        <v>3612.0</v>
      </c>
      <c r="AM39" s="45">
        <v>5217.0</v>
      </c>
      <c r="AO39" s="45">
        <v>12041.0</v>
      </c>
      <c r="AP39" s="45">
        <v>2408.0</v>
      </c>
      <c r="AQ39" s="45">
        <v>10034.0</v>
      </c>
      <c r="AR39" s="45">
        <v>24082.0</v>
      </c>
      <c r="AS39" s="45">
        <v>3411.0</v>
      </c>
      <c r="AT39" s="45">
        <v>16724.0</v>
      </c>
      <c r="AU39" s="45">
        <v>14717.0</v>
      </c>
      <c r="AV39" s="45">
        <v>10302.0</v>
      </c>
      <c r="AW39" s="45">
        <v>7358.0</v>
      </c>
      <c r="BA39" s="41">
        <v>4013.0</v>
      </c>
      <c r="BB39" s="41">
        <v>2675.0</v>
      </c>
      <c r="BD39" s="45">
        <v>2675.0</v>
      </c>
      <c r="BE39" s="45">
        <v>8027.0</v>
      </c>
      <c r="BG39" s="41">
        <v>6689.0</v>
      </c>
      <c r="BH39" s="41">
        <v>12041.0</v>
      </c>
      <c r="BI39" s="41">
        <v>14717.0</v>
      </c>
    </row>
    <row r="40" ht="12.75" customHeight="1">
      <c r="A40" s="34">
        <v>35.0</v>
      </c>
      <c r="B40" s="41">
        <v>2484.0</v>
      </c>
      <c r="E40" s="45">
        <v>2070.0</v>
      </c>
      <c r="H40" s="45">
        <v>3726.0</v>
      </c>
      <c r="K40" s="45">
        <v>10352.0</v>
      </c>
      <c r="L40" s="45">
        <v>13803.0</v>
      </c>
      <c r="M40" s="45">
        <v>8282.0</v>
      </c>
      <c r="N40" s="45">
        <v>16564.0</v>
      </c>
      <c r="O40" s="45">
        <v>24846.0</v>
      </c>
      <c r="P40" s="45">
        <v>41410.0</v>
      </c>
      <c r="Q40" s="45">
        <v>41410.0</v>
      </c>
      <c r="R40" s="45">
        <v>3450.0</v>
      </c>
      <c r="T40" s="45">
        <v>17254.0</v>
      </c>
      <c r="U40" s="45">
        <v>3450.0</v>
      </c>
      <c r="W40" s="45">
        <v>11042.0</v>
      </c>
      <c r="Z40" s="45">
        <v>13803.0</v>
      </c>
      <c r="AA40" s="45">
        <v>7591.0</v>
      </c>
      <c r="AC40" s="45">
        <v>3105.0</v>
      </c>
      <c r="AF40" s="45">
        <v>2691.0</v>
      </c>
      <c r="AI40" s="41">
        <v>2691.0</v>
      </c>
      <c r="AL40" s="45">
        <v>3726.0</v>
      </c>
      <c r="AM40" s="45">
        <v>5383.0</v>
      </c>
      <c r="AO40" s="41">
        <v>12423.0</v>
      </c>
      <c r="AP40" s="41">
        <v>2484.0</v>
      </c>
      <c r="AQ40" s="41">
        <v>10352.0</v>
      </c>
      <c r="AR40" s="45">
        <v>24846.0</v>
      </c>
      <c r="AS40" s="45">
        <v>3519.0</v>
      </c>
      <c r="AT40" s="45">
        <v>17254.0</v>
      </c>
      <c r="AU40" s="45">
        <v>15183.0</v>
      </c>
      <c r="AV40" s="45">
        <v>10628.0</v>
      </c>
      <c r="AW40" s="45">
        <v>7591.0</v>
      </c>
      <c r="BA40" s="45">
        <v>4141.0</v>
      </c>
      <c r="BB40" s="45">
        <v>2760.0</v>
      </c>
      <c r="BD40" s="45">
        <v>2760.0</v>
      </c>
      <c r="BE40" s="45">
        <v>8282.0</v>
      </c>
      <c r="BG40" s="41">
        <v>6901.0</v>
      </c>
      <c r="BH40" s="41">
        <v>12423.0</v>
      </c>
      <c r="BI40" s="41">
        <v>15183.0</v>
      </c>
    </row>
    <row r="41" ht="12.75" customHeight="1">
      <c r="A41" s="34">
        <v>36.0</v>
      </c>
      <c r="B41" s="45">
        <v>2567.0</v>
      </c>
      <c r="E41" s="41">
        <v>2139.0</v>
      </c>
      <c r="H41" s="45">
        <v>3850.0</v>
      </c>
      <c r="K41" s="45">
        <v>10696.0</v>
      </c>
      <c r="L41" s="45">
        <v>14261.0</v>
      </c>
      <c r="M41" s="45">
        <v>8556.0</v>
      </c>
      <c r="N41" s="45">
        <v>17113.0</v>
      </c>
      <c r="O41" s="45">
        <v>25670.0</v>
      </c>
      <c r="P41" s="45">
        <v>42784.0</v>
      </c>
      <c r="Q41" s="45">
        <v>42784.0</v>
      </c>
      <c r="R41" s="45">
        <v>3565.0</v>
      </c>
      <c r="T41" s="45">
        <v>17826.0</v>
      </c>
      <c r="U41" s="45">
        <v>3565.0</v>
      </c>
      <c r="W41" s="45">
        <v>11409.0</v>
      </c>
      <c r="Z41" s="45">
        <v>14261.0</v>
      </c>
      <c r="AA41" s="45">
        <v>7843.0</v>
      </c>
      <c r="AC41" s="45">
        <v>3208.0</v>
      </c>
      <c r="AF41" s="45">
        <v>2780.0</v>
      </c>
      <c r="AI41" s="45">
        <v>2780.0</v>
      </c>
      <c r="AL41" s="45">
        <v>3850.0</v>
      </c>
      <c r="AM41" s="45">
        <v>5561.0</v>
      </c>
      <c r="AO41" s="45">
        <v>12835.0</v>
      </c>
      <c r="AP41" s="45">
        <v>2567.0</v>
      </c>
      <c r="AQ41" s="45">
        <v>10696.0</v>
      </c>
      <c r="AR41" s="45">
        <v>25670.0</v>
      </c>
      <c r="AS41" s="45">
        <v>3636.0</v>
      </c>
      <c r="AT41" s="45">
        <v>17826.0</v>
      </c>
      <c r="AU41" s="45">
        <v>15687.0</v>
      </c>
      <c r="AV41" s="45">
        <v>10981.0</v>
      </c>
      <c r="AW41" s="45">
        <v>7843.0</v>
      </c>
      <c r="BA41" s="45">
        <v>4278.0</v>
      </c>
      <c r="BB41" s="45">
        <v>2852.0</v>
      </c>
      <c r="BD41" s="45">
        <v>2852.0</v>
      </c>
      <c r="BE41" s="45">
        <v>8556.0</v>
      </c>
      <c r="BG41" s="45">
        <v>7130.0</v>
      </c>
      <c r="BH41" s="45">
        <v>12835.0</v>
      </c>
      <c r="BI41" s="45">
        <v>15687.0</v>
      </c>
    </row>
    <row r="42" ht="12.75" customHeight="1">
      <c r="A42" s="34">
        <v>37.0</v>
      </c>
      <c r="B42" s="45">
        <v>2655.0</v>
      </c>
      <c r="E42" s="41">
        <v>2212.0</v>
      </c>
      <c r="H42" s="45">
        <v>3983.0</v>
      </c>
      <c r="N42" s="45">
        <v>17703.0</v>
      </c>
      <c r="O42" s="45">
        <v>26555.0</v>
      </c>
      <c r="P42" s="45">
        <v>44258.0</v>
      </c>
      <c r="T42" s="45">
        <v>18441.0</v>
      </c>
      <c r="U42" s="45">
        <v>3688.0</v>
      </c>
      <c r="Z42" s="45">
        <v>14752.0</v>
      </c>
      <c r="AA42" s="45">
        <v>8114.0</v>
      </c>
      <c r="AC42" s="45">
        <v>3319.0</v>
      </c>
      <c r="AF42" s="41">
        <v>2876.0</v>
      </c>
      <c r="AI42" s="45">
        <v>2876.0</v>
      </c>
      <c r="AL42" s="45">
        <v>3983.0</v>
      </c>
      <c r="AM42" s="45">
        <v>5753.0</v>
      </c>
      <c r="AO42" s="45">
        <v>13277.0</v>
      </c>
      <c r="AP42" s="45">
        <v>2655.0</v>
      </c>
      <c r="AQ42" s="45">
        <v>11064.0</v>
      </c>
      <c r="AR42" s="45">
        <v>26555.0</v>
      </c>
      <c r="AS42" s="45">
        <v>3761.0</v>
      </c>
      <c r="AT42" s="45">
        <v>18441.0</v>
      </c>
      <c r="AU42" s="41">
        <v>16228.0</v>
      </c>
      <c r="AV42" s="41">
        <v>11359.0</v>
      </c>
      <c r="AW42" s="41">
        <v>8114.0</v>
      </c>
      <c r="BA42" s="45">
        <v>4425.0</v>
      </c>
      <c r="BB42" s="45">
        <v>2950.0</v>
      </c>
      <c r="BG42" s="45">
        <v>7376.0</v>
      </c>
      <c r="BH42" s="45">
        <v>13277.0</v>
      </c>
      <c r="BI42" s="45">
        <v>16228.0</v>
      </c>
    </row>
    <row r="43" ht="12.75" customHeight="1">
      <c r="A43" s="34">
        <v>38.0</v>
      </c>
      <c r="B43" s="41">
        <v>2751.0</v>
      </c>
      <c r="E43" s="45">
        <v>2292.0</v>
      </c>
      <c r="H43" s="41">
        <v>4127.0</v>
      </c>
      <c r="N43" s="45">
        <v>18343.0</v>
      </c>
      <c r="O43" s="45">
        <v>27515.0</v>
      </c>
      <c r="P43" s="45">
        <v>45858.0</v>
      </c>
      <c r="T43" s="45">
        <v>19107.0</v>
      </c>
      <c r="U43" s="45">
        <v>3821.0</v>
      </c>
      <c r="Z43" s="41">
        <v>15286.0</v>
      </c>
      <c r="AA43" s="41">
        <v>9171.0</v>
      </c>
      <c r="AC43" s="45">
        <v>3439.0</v>
      </c>
      <c r="AF43" s="45">
        <v>2980.0</v>
      </c>
      <c r="AI43" s="45">
        <v>2980.0</v>
      </c>
      <c r="AL43" s="45">
        <v>4127.0</v>
      </c>
      <c r="AM43" s="45">
        <v>5961.0</v>
      </c>
      <c r="AO43" s="41">
        <v>13757.0</v>
      </c>
      <c r="AP43" s="41">
        <v>2751.0</v>
      </c>
      <c r="AQ43" s="41">
        <v>11464.0</v>
      </c>
      <c r="AU43" s="45">
        <v>16814.0</v>
      </c>
      <c r="AV43" s="45">
        <v>11770.0</v>
      </c>
      <c r="AW43" s="45">
        <v>8407.0</v>
      </c>
      <c r="BA43" s="45">
        <v>4585.0</v>
      </c>
      <c r="BB43" s="45">
        <v>3057.0</v>
      </c>
      <c r="BG43" s="45">
        <v>7643.0</v>
      </c>
      <c r="BH43" s="45">
        <v>13757.0</v>
      </c>
      <c r="BI43" s="45">
        <v>16814.0</v>
      </c>
    </row>
    <row r="44" ht="12.75" customHeight="1">
      <c r="A44" s="34">
        <v>39.0</v>
      </c>
      <c r="B44" s="45">
        <v>2855.0</v>
      </c>
      <c r="E44" s="45">
        <v>2379.0</v>
      </c>
      <c r="H44" s="41">
        <v>4282.0</v>
      </c>
      <c r="N44" s="41">
        <v>19033.0</v>
      </c>
      <c r="O44" s="41">
        <v>28550.0</v>
      </c>
      <c r="P44" s="41">
        <v>47584.0</v>
      </c>
      <c r="Q44" s="41">
        <v>47584.0</v>
      </c>
      <c r="R44" s="41">
        <v>3965.0</v>
      </c>
      <c r="T44" s="41">
        <v>19827.0</v>
      </c>
      <c r="U44" s="41">
        <v>3965.0</v>
      </c>
      <c r="W44" s="41">
        <v>12689.0</v>
      </c>
      <c r="Z44" s="45">
        <v>15861.0</v>
      </c>
      <c r="AA44" s="45">
        <v>9516.0</v>
      </c>
      <c r="AF44" s="41">
        <v>3093.0</v>
      </c>
      <c r="AI44" s="41">
        <v>3093.0</v>
      </c>
      <c r="AL44" s="41">
        <v>4282.0</v>
      </c>
      <c r="AM44" s="41">
        <v>6186.0</v>
      </c>
      <c r="AO44" s="41">
        <v>14275.0</v>
      </c>
      <c r="AP44" s="41">
        <v>2855.0</v>
      </c>
      <c r="AQ44" s="41">
        <v>11896.0</v>
      </c>
      <c r="AU44" s="45">
        <v>17447.0</v>
      </c>
      <c r="AV44" s="45">
        <v>12213.0</v>
      </c>
      <c r="AW44" s="45">
        <v>8723.0</v>
      </c>
      <c r="AX44" s="41">
        <v>14275.0</v>
      </c>
      <c r="AY44" s="41">
        <v>7137.0</v>
      </c>
      <c r="BA44" s="45">
        <v>4758.0</v>
      </c>
      <c r="BB44" s="45">
        <v>3172.0</v>
      </c>
      <c r="BD44" s="41">
        <v>3172.0</v>
      </c>
      <c r="BE44" s="41">
        <v>9516.0</v>
      </c>
      <c r="BG44" s="41">
        <v>7930.0</v>
      </c>
      <c r="BH44" s="41">
        <v>14275.0</v>
      </c>
      <c r="BI44" s="41">
        <v>17447.0</v>
      </c>
    </row>
    <row r="45" ht="12.75" customHeight="1">
      <c r="A45" s="34">
        <v>40.0</v>
      </c>
      <c r="B45" s="41">
        <v>2966.0</v>
      </c>
      <c r="E45" s="41">
        <v>2472.0</v>
      </c>
      <c r="H45" s="41">
        <v>4450.0</v>
      </c>
      <c r="N45" s="41">
        <v>19779.0</v>
      </c>
      <c r="O45" s="41">
        <v>29669.0</v>
      </c>
      <c r="P45" s="41">
        <v>49449.0</v>
      </c>
      <c r="Q45" s="41">
        <v>49449.0</v>
      </c>
      <c r="R45" s="41">
        <v>4120.0</v>
      </c>
      <c r="T45" s="41">
        <v>20604.0</v>
      </c>
      <c r="U45" s="41">
        <v>4120.0</v>
      </c>
      <c r="W45" s="41">
        <v>13186.0</v>
      </c>
      <c r="Z45" s="45">
        <v>16483.0</v>
      </c>
      <c r="AA45" s="45">
        <v>9889.0</v>
      </c>
      <c r="AF45" s="41">
        <v>3214.0</v>
      </c>
      <c r="AI45" s="41">
        <v>3214.0</v>
      </c>
      <c r="AL45" s="45">
        <v>4450.0</v>
      </c>
      <c r="AM45" s="45">
        <v>6428.0</v>
      </c>
      <c r="AO45" s="45">
        <v>14834.0</v>
      </c>
      <c r="AP45" s="45">
        <v>2966.0</v>
      </c>
      <c r="AQ45" s="45">
        <v>12362.0</v>
      </c>
      <c r="AR45" s="41">
        <v>29669.0</v>
      </c>
      <c r="AS45" s="41">
        <v>4203.0</v>
      </c>
      <c r="AT45" s="41">
        <v>20604.0</v>
      </c>
      <c r="AU45" s="45">
        <v>18131.0</v>
      </c>
      <c r="AV45" s="45">
        <v>12692.0</v>
      </c>
      <c r="AW45" s="45">
        <v>9065.0</v>
      </c>
      <c r="AX45" s="45">
        <v>14834.0</v>
      </c>
      <c r="AY45" s="45">
        <v>7417.0</v>
      </c>
      <c r="BA45" s="41">
        <v>4944.0</v>
      </c>
      <c r="BB45" s="41">
        <v>3296.0</v>
      </c>
      <c r="BD45" s="41">
        <v>3296.0</v>
      </c>
      <c r="BE45" s="41">
        <v>9889.0</v>
      </c>
      <c r="BG45" s="41">
        <v>8241.0</v>
      </c>
      <c r="BH45" s="41">
        <v>14834.0</v>
      </c>
      <c r="BI45" s="41">
        <v>18131.0</v>
      </c>
    </row>
    <row r="46" ht="12.75" customHeight="1">
      <c r="A46" s="34">
        <v>41.0</v>
      </c>
      <c r="B46" s="45">
        <v>3087.0</v>
      </c>
      <c r="E46" s="45">
        <v>2573.0</v>
      </c>
      <c r="H46" s="45">
        <v>4631.0</v>
      </c>
      <c r="K46" s="41">
        <v>12866.0</v>
      </c>
      <c r="L46" s="41">
        <v>17155.0</v>
      </c>
      <c r="M46" s="41">
        <v>10293.0</v>
      </c>
      <c r="N46" s="45">
        <v>20586.0</v>
      </c>
      <c r="O46" s="45">
        <v>30879.0</v>
      </c>
      <c r="P46" s="45">
        <v>51465.0</v>
      </c>
      <c r="Q46" s="41">
        <v>51465.0</v>
      </c>
      <c r="R46" s="41">
        <v>4288.0</v>
      </c>
      <c r="T46" s="45">
        <v>21444.0</v>
      </c>
      <c r="U46" s="45">
        <v>4288.0</v>
      </c>
      <c r="W46" s="45">
        <v>13724.0</v>
      </c>
      <c r="Z46" s="45">
        <v>17155.0</v>
      </c>
      <c r="AA46" s="45">
        <v>10293.0</v>
      </c>
      <c r="AC46" s="41">
        <v>3859.0</v>
      </c>
      <c r="AF46" s="41">
        <v>3345.0</v>
      </c>
      <c r="AI46" s="45">
        <v>3345.0</v>
      </c>
      <c r="AL46" s="45">
        <v>4631.0</v>
      </c>
      <c r="AM46" s="45">
        <v>6690.0</v>
      </c>
      <c r="AO46" s="45">
        <v>15439.0</v>
      </c>
      <c r="AP46" s="45">
        <v>3087.0</v>
      </c>
      <c r="AQ46" s="45">
        <v>12866.0</v>
      </c>
      <c r="AR46" s="45">
        <v>30879.0</v>
      </c>
      <c r="AS46" s="45">
        <v>4374.0</v>
      </c>
      <c r="AT46" s="45">
        <v>21444.0</v>
      </c>
      <c r="AU46" s="45">
        <v>18870.0</v>
      </c>
      <c r="AV46" s="45">
        <v>13209.0</v>
      </c>
      <c r="AW46" s="45">
        <v>9435.0</v>
      </c>
      <c r="AX46" s="41">
        <v>15439.0</v>
      </c>
      <c r="AY46" s="41">
        <v>7719.0</v>
      </c>
      <c r="BA46" s="45">
        <v>5146.0</v>
      </c>
      <c r="BB46" s="45">
        <v>3431.0</v>
      </c>
      <c r="BG46" s="45">
        <v>8577.0</v>
      </c>
      <c r="BH46" s="45">
        <v>15439.0</v>
      </c>
      <c r="BI46" s="45">
        <v>18870.0</v>
      </c>
    </row>
    <row r="47" ht="12.75" customHeight="1">
      <c r="A47" s="34">
        <v>42.0</v>
      </c>
      <c r="B47" s="45">
        <v>3217.0</v>
      </c>
      <c r="E47" s="41">
        <v>2681.0</v>
      </c>
      <c r="H47" s="45">
        <v>4826.0</v>
      </c>
      <c r="K47" s="45">
        <v>13408.0</v>
      </c>
      <c r="L47" s="45">
        <v>17877.0</v>
      </c>
      <c r="M47" s="45">
        <v>10726.0</v>
      </c>
      <c r="N47" s="45">
        <v>21453.0</v>
      </c>
      <c r="O47" s="45">
        <v>32179.0</v>
      </c>
      <c r="P47" s="45">
        <v>53632.0</v>
      </c>
      <c r="Q47" s="41">
        <v>53632.0</v>
      </c>
      <c r="R47" s="41">
        <v>4469.0</v>
      </c>
      <c r="T47" s="45">
        <v>22347.0</v>
      </c>
      <c r="U47" s="45">
        <v>4469.0</v>
      </c>
      <c r="W47" s="45">
        <v>14302.0</v>
      </c>
      <c r="Z47" s="41">
        <v>17877.0</v>
      </c>
      <c r="AA47" s="41">
        <v>9832.0</v>
      </c>
      <c r="AC47" s="45">
        <v>4022.0</v>
      </c>
      <c r="AF47" s="45">
        <v>3486.0</v>
      </c>
      <c r="AI47" s="45">
        <v>3486.0</v>
      </c>
      <c r="AL47" s="45">
        <v>4826.0</v>
      </c>
      <c r="AM47" s="45">
        <v>6972.0</v>
      </c>
      <c r="AO47" s="45">
        <v>16089.0</v>
      </c>
      <c r="AP47" s="45">
        <v>3217.0</v>
      </c>
      <c r="AQ47" s="45">
        <v>13408.0</v>
      </c>
      <c r="AR47" s="45">
        <v>32179.0</v>
      </c>
      <c r="AS47" s="45">
        <v>4558.0</v>
      </c>
      <c r="AT47" s="45">
        <v>22347.0</v>
      </c>
      <c r="AU47" s="45">
        <v>19665.0</v>
      </c>
      <c r="AV47" s="45">
        <v>13765.0</v>
      </c>
      <c r="AW47" s="45">
        <v>9832.0</v>
      </c>
      <c r="AX47" s="45">
        <v>16089.0</v>
      </c>
      <c r="AY47" s="45">
        <v>8044.0</v>
      </c>
      <c r="BA47" s="45">
        <v>5363.0</v>
      </c>
      <c r="BB47" s="45">
        <v>3575.0</v>
      </c>
      <c r="BG47" s="41">
        <v>8938.0</v>
      </c>
      <c r="BH47" s="41">
        <v>16089.0</v>
      </c>
      <c r="BI47" s="41">
        <v>19665.0</v>
      </c>
    </row>
    <row r="48" ht="12.75" customHeight="1">
      <c r="A48" s="34">
        <v>43.0</v>
      </c>
      <c r="B48" s="45">
        <v>3358.0</v>
      </c>
      <c r="E48" s="41">
        <v>2798.0</v>
      </c>
      <c r="H48" s="45">
        <v>5037.0</v>
      </c>
      <c r="K48" s="45">
        <v>13994.0</v>
      </c>
      <c r="L48" s="45">
        <v>18658.0</v>
      </c>
      <c r="M48" s="45">
        <v>11195.0</v>
      </c>
      <c r="N48" s="45">
        <v>22390.0</v>
      </c>
      <c r="O48" s="45">
        <v>33585.0</v>
      </c>
      <c r="P48" s="45">
        <v>55976.0</v>
      </c>
      <c r="Q48" s="45">
        <v>55976.0</v>
      </c>
      <c r="R48" s="45">
        <v>4664.0</v>
      </c>
      <c r="T48" s="45">
        <v>23323.0</v>
      </c>
      <c r="U48" s="45">
        <v>4664.0</v>
      </c>
      <c r="W48" s="45">
        <v>14927.0</v>
      </c>
      <c r="Z48" s="45">
        <v>18658.0</v>
      </c>
      <c r="AA48" s="45">
        <v>10262.0</v>
      </c>
      <c r="AC48" s="45">
        <v>4198.0</v>
      </c>
      <c r="AF48" s="45">
        <v>3638.0</v>
      </c>
      <c r="AI48" s="45">
        <v>3638.0</v>
      </c>
      <c r="AL48" s="45">
        <v>5037.0</v>
      </c>
      <c r="AM48" s="45">
        <v>7276.0</v>
      </c>
      <c r="AO48" s="45">
        <v>16792.0</v>
      </c>
      <c r="AP48" s="45">
        <v>3358.0</v>
      </c>
      <c r="AQ48" s="45">
        <v>13994.0</v>
      </c>
      <c r="AR48" s="41">
        <v>33585.0</v>
      </c>
      <c r="AS48" s="41">
        <v>4757.0</v>
      </c>
      <c r="AT48" s="41">
        <v>23323.0</v>
      </c>
      <c r="AX48" s="45">
        <v>16792.0</v>
      </c>
      <c r="AY48" s="45">
        <v>8396.0</v>
      </c>
      <c r="BA48" s="41">
        <v>5597.0</v>
      </c>
      <c r="BB48" s="41">
        <v>3731.0</v>
      </c>
      <c r="BG48" s="41">
        <v>9329.0</v>
      </c>
      <c r="BH48" s="41">
        <v>16792.0</v>
      </c>
      <c r="BI48" s="41">
        <v>20524.0</v>
      </c>
    </row>
    <row r="49" ht="12.75" customHeight="1">
      <c r="A49" s="34">
        <v>44.0</v>
      </c>
      <c r="B49" s="41">
        <v>3510.0</v>
      </c>
      <c r="E49" s="45">
        <v>2925.0</v>
      </c>
      <c r="H49" s="41">
        <v>5265.0</v>
      </c>
      <c r="K49" s="41">
        <v>14627.0</v>
      </c>
      <c r="L49" s="41">
        <v>19503.0</v>
      </c>
      <c r="M49" s="41">
        <v>11701.0</v>
      </c>
      <c r="N49" s="45">
        <v>23403.0</v>
      </c>
      <c r="O49" s="45">
        <v>35105.0</v>
      </c>
      <c r="P49" s="45">
        <v>58509.0</v>
      </c>
      <c r="Q49" s="45">
        <v>58509.0</v>
      </c>
      <c r="R49" s="45">
        <v>4875.0</v>
      </c>
      <c r="T49" s="45">
        <v>24378.0</v>
      </c>
      <c r="U49" s="45">
        <v>4875.0</v>
      </c>
      <c r="W49" s="41">
        <v>15602.0</v>
      </c>
      <c r="Z49" s="45">
        <v>19503.0</v>
      </c>
      <c r="AA49" s="45">
        <v>10726.0</v>
      </c>
      <c r="AC49" s="45">
        <v>4388.0</v>
      </c>
      <c r="AF49" s="45">
        <v>3803.0</v>
      </c>
      <c r="AI49" s="45">
        <v>3803.0</v>
      </c>
      <c r="AL49" s="45">
        <v>5265.0</v>
      </c>
      <c r="AM49" s="45">
        <v>7606.0</v>
      </c>
      <c r="AO49" s="45">
        <v>17552.0</v>
      </c>
      <c r="AP49" s="45">
        <v>3510.0</v>
      </c>
      <c r="AQ49" s="45">
        <v>14627.0</v>
      </c>
      <c r="AR49" s="45">
        <v>35105.0</v>
      </c>
      <c r="AS49" s="45">
        <v>4973.0</v>
      </c>
      <c r="AT49" s="45">
        <v>24378.0</v>
      </c>
      <c r="AX49" s="45">
        <v>17552.0</v>
      </c>
      <c r="AY49" s="45">
        <v>8776.0</v>
      </c>
      <c r="BA49" s="41">
        <v>5850.0</v>
      </c>
      <c r="BB49" s="41">
        <v>3900.0</v>
      </c>
      <c r="BD49" s="41">
        <v>3900.0</v>
      </c>
      <c r="BE49" s="41">
        <v>11701.0</v>
      </c>
      <c r="BG49" s="45">
        <v>9751.0</v>
      </c>
      <c r="BH49" s="45">
        <v>17552.0</v>
      </c>
      <c r="BI49" s="45">
        <v>21453.0</v>
      </c>
    </row>
    <row r="50" ht="12.75" customHeight="1">
      <c r="A50" s="34">
        <v>45.0</v>
      </c>
      <c r="B50" s="45">
        <v>3674.0</v>
      </c>
      <c r="E50" s="45">
        <v>3062.0</v>
      </c>
      <c r="H50" s="41">
        <v>5511.0</v>
      </c>
      <c r="K50" s="45">
        <v>15310.0</v>
      </c>
      <c r="L50" s="45">
        <v>20414.0</v>
      </c>
      <c r="M50" s="45">
        <v>12248.0</v>
      </c>
      <c r="N50" s="45">
        <v>24497.0</v>
      </c>
      <c r="O50" s="45">
        <v>36745.0</v>
      </c>
      <c r="P50" s="45">
        <v>61243.0</v>
      </c>
      <c r="Q50" s="45">
        <v>61243.0</v>
      </c>
      <c r="R50" s="45">
        <v>5103.0</v>
      </c>
      <c r="T50" s="41">
        <v>25518.0</v>
      </c>
      <c r="U50" s="41">
        <v>5103.0</v>
      </c>
      <c r="W50" s="41">
        <v>16331.0</v>
      </c>
      <c r="Z50" s="45">
        <v>20414.0</v>
      </c>
      <c r="AA50" s="45">
        <v>11227.0</v>
      </c>
      <c r="AC50" s="41">
        <v>4593.0</v>
      </c>
      <c r="AF50" s="45">
        <v>3980.0</v>
      </c>
      <c r="AI50" s="45">
        <v>3980.0</v>
      </c>
      <c r="AR50" s="45">
        <v>36745.0</v>
      </c>
      <c r="AS50" s="45">
        <v>5205.0</v>
      </c>
      <c r="AT50" s="45">
        <v>25518.0</v>
      </c>
      <c r="AX50" s="41">
        <v>18372.0</v>
      </c>
      <c r="AY50" s="41">
        <v>9186.0</v>
      </c>
      <c r="BA50" s="45">
        <v>6124.0</v>
      </c>
      <c r="BB50" s="45">
        <v>4082.0</v>
      </c>
      <c r="BG50" s="45">
        <v>10207.0</v>
      </c>
      <c r="BH50" s="45">
        <v>18372.0</v>
      </c>
      <c r="BI50" s="45">
        <v>22455.0</v>
      </c>
    </row>
    <row r="51" ht="12.75" customHeight="1">
      <c r="A51" s="34">
        <v>46.0</v>
      </c>
      <c r="B51" s="45">
        <v>3852.0</v>
      </c>
      <c r="E51" s="45">
        <v>3210.0</v>
      </c>
      <c r="H51" s="45">
        <v>5778.0</v>
      </c>
      <c r="K51" s="45">
        <v>16051.0</v>
      </c>
      <c r="L51" s="45">
        <v>21401.0</v>
      </c>
      <c r="M51" s="45">
        <v>12840.0</v>
      </c>
      <c r="Q51" s="45">
        <v>64204.0</v>
      </c>
      <c r="R51" s="45">
        <v>5350.0</v>
      </c>
      <c r="T51" s="45">
        <v>26751.0</v>
      </c>
      <c r="U51" s="45">
        <v>5350.0</v>
      </c>
      <c r="W51" s="45">
        <v>17121.0</v>
      </c>
      <c r="Z51" s="45">
        <v>21401.0</v>
      </c>
      <c r="AA51" s="45">
        <v>11770.0</v>
      </c>
      <c r="AC51" s="45">
        <v>4815.0</v>
      </c>
      <c r="AF51" s="41">
        <v>4173.0</v>
      </c>
      <c r="AI51" s="41">
        <v>4173.0</v>
      </c>
      <c r="AO51" s="41">
        <v>19261.0</v>
      </c>
      <c r="AP51" s="41">
        <v>3852.0</v>
      </c>
      <c r="AQ51" s="41">
        <v>16051.0</v>
      </c>
      <c r="AR51" s="45">
        <v>38522.0</v>
      </c>
      <c r="AS51" s="45">
        <v>5457.0</v>
      </c>
      <c r="AT51" s="45">
        <v>26751.0</v>
      </c>
      <c r="AX51" s="45">
        <v>19261.0</v>
      </c>
      <c r="AY51" s="45">
        <v>9630.0</v>
      </c>
      <c r="BA51" s="45">
        <v>6420.0</v>
      </c>
      <c r="BB51" s="45">
        <v>4280.0</v>
      </c>
      <c r="BG51" s="45">
        <v>10700.0</v>
      </c>
      <c r="BH51" s="45">
        <v>19261.0</v>
      </c>
      <c r="BI51" s="45">
        <v>23541.0</v>
      </c>
    </row>
    <row r="52" ht="12.75" customHeight="1">
      <c r="A52" s="34">
        <v>47.0</v>
      </c>
      <c r="B52" s="41">
        <v>4043.0</v>
      </c>
      <c r="E52" s="45">
        <v>3369.0</v>
      </c>
      <c r="H52" s="45">
        <v>6065.0</v>
      </c>
      <c r="K52" s="45">
        <v>16848.0</v>
      </c>
      <c r="L52" s="45">
        <v>22464.0</v>
      </c>
      <c r="M52" s="45">
        <v>13478.0</v>
      </c>
      <c r="Q52" s="41">
        <v>67392.0</v>
      </c>
      <c r="R52" s="41">
        <v>5616.0</v>
      </c>
      <c r="T52" s="45">
        <v>28080.0</v>
      </c>
      <c r="U52" s="45">
        <v>5616.0</v>
      </c>
      <c r="W52" s="45">
        <v>17971.0</v>
      </c>
      <c r="Z52" s="45">
        <v>22565.0</v>
      </c>
      <c r="AA52" s="45">
        <v>12355.0</v>
      </c>
      <c r="AC52" s="41">
        <v>5054.0</v>
      </c>
      <c r="AF52" s="45">
        <v>4380.0</v>
      </c>
      <c r="AI52" s="45">
        <v>4380.0</v>
      </c>
      <c r="AO52" s="45">
        <v>20217.0</v>
      </c>
      <c r="AP52" s="45">
        <v>4043.0</v>
      </c>
      <c r="AQ52" s="45">
        <v>16848.0</v>
      </c>
      <c r="AR52" s="41">
        <v>40435.0</v>
      </c>
      <c r="AS52" s="41">
        <v>5728.0</v>
      </c>
      <c r="AT52" s="41">
        <v>28080.0</v>
      </c>
      <c r="AX52" s="45">
        <v>20217.0</v>
      </c>
      <c r="AY52" s="45">
        <v>10108.0</v>
      </c>
      <c r="BA52" s="45">
        <v>6739.0</v>
      </c>
      <c r="BB52" s="45">
        <v>4492.0</v>
      </c>
      <c r="BG52" s="45">
        <v>11232.0</v>
      </c>
      <c r="BH52" s="45">
        <v>20217.0</v>
      </c>
      <c r="BI52" s="45">
        <v>24710.0</v>
      </c>
    </row>
    <row r="53" ht="12.75" customHeight="1">
      <c r="A53" s="34">
        <v>48.0</v>
      </c>
      <c r="B53" s="45">
        <v>4250.0</v>
      </c>
      <c r="E53" s="45">
        <v>3542.0</v>
      </c>
      <c r="H53" s="45">
        <v>6375.0</v>
      </c>
      <c r="K53" s="45">
        <v>17711.0</v>
      </c>
      <c r="L53" s="45">
        <v>23614.0</v>
      </c>
      <c r="M53" s="45">
        <v>14168.0</v>
      </c>
      <c r="Q53" s="41">
        <v>70844.0</v>
      </c>
      <c r="R53" s="41">
        <v>5903.0</v>
      </c>
      <c r="T53" s="41">
        <v>29518.0</v>
      </c>
      <c r="U53" s="41">
        <v>5903.0</v>
      </c>
      <c r="W53" s="41">
        <v>18891.0</v>
      </c>
      <c r="Z53" s="41">
        <v>23614.0</v>
      </c>
      <c r="AA53" s="41">
        <v>14168.0</v>
      </c>
      <c r="AC53" s="41">
        <v>5313.0</v>
      </c>
      <c r="AF53" s="45">
        <v>4604.0</v>
      </c>
      <c r="AI53" s="45">
        <v>4604.0</v>
      </c>
      <c r="AL53" s="41">
        <v>6375.0</v>
      </c>
      <c r="AM53" s="41">
        <v>9209.0</v>
      </c>
      <c r="AO53" s="41">
        <v>21253.0</v>
      </c>
      <c r="AP53" s="41">
        <v>4250.0</v>
      </c>
      <c r="AQ53" s="41">
        <v>17711.0</v>
      </c>
      <c r="AR53" s="41">
        <v>42506.0</v>
      </c>
      <c r="AS53" s="41">
        <v>6021.0</v>
      </c>
      <c r="AT53" s="41">
        <v>29518.0</v>
      </c>
      <c r="AU53" s="41">
        <v>25976.0</v>
      </c>
      <c r="AV53" s="41">
        <v>18183.0</v>
      </c>
      <c r="AW53" s="41">
        <v>12988.0</v>
      </c>
      <c r="AX53" s="45">
        <v>21253.0</v>
      </c>
      <c r="AY53" s="45">
        <v>10626.0</v>
      </c>
      <c r="BA53" s="41">
        <v>7084.0</v>
      </c>
      <c r="BB53" s="41">
        <v>4722.0</v>
      </c>
      <c r="BD53" s="41">
        <v>4722.0</v>
      </c>
      <c r="BE53" s="41">
        <v>14168.0</v>
      </c>
      <c r="BG53" s="45">
        <v>11807.0</v>
      </c>
      <c r="BH53" s="45">
        <v>21253.0</v>
      </c>
      <c r="BI53" s="45">
        <v>25976.0</v>
      </c>
    </row>
    <row r="54" ht="12.75" customHeight="1">
      <c r="A54" s="34">
        <v>49.0</v>
      </c>
      <c r="B54" s="41">
        <v>4474.0</v>
      </c>
      <c r="E54" s="41">
        <v>3728.0</v>
      </c>
      <c r="H54" s="41">
        <v>6711.0</v>
      </c>
      <c r="K54" s="45">
        <v>18643.0</v>
      </c>
      <c r="L54" s="45">
        <v>24858.0</v>
      </c>
      <c r="M54" s="45">
        <v>14914.0</v>
      </c>
      <c r="Q54" s="45">
        <v>74574.0</v>
      </c>
      <c r="R54" s="45">
        <v>6214.0</v>
      </c>
      <c r="T54" s="41">
        <v>31072.0</v>
      </c>
      <c r="U54" s="41">
        <v>5214.0</v>
      </c>
      <c r="W54" s="45">
        <v>19886.0</v>
      </c>
      <c r="Z54" s="41">
        <v>24858.0</v>
      </c>
      <c r="AA54" s="41">
        <v>13671.0</v>
      </c>
      <c r="AC54" s="41">
        <v>5593.0</v>
      </c>
      <c r="AF54" s="41">
        <v>4847.0</v>
      </c>
      <c r="AI54" s="41">
        <v>4847.0</v>
      </c>
      <c r="AL54" s="41">
        <v>6711.0</v>
      </c>
      <c r="AM54" s="41">
        <v>9694.0</v>
      </c>
      <c r="AO54" s="41">
        <v>22372.0</v>
      </c>
      <c r="AP54" s="41">
        <v>4474.0</v>
      </c>
      <c r="AQ54" s="41">
        <v>18643.0</v>
      </c>
      <c r="AR54" s="45">
        <v>44744.0</v>
      </c>
      <c r="AS54" s="45">
        <v>6338.0</v>
      </c>
      <c r="AT54" s="45">
        <v>31072.0</v>
      </c>
      <c r="AU54" s="41">
        <v>27343.0</v>
      </c>
      <c r="AV54" s="41">
        <v>19140.0</v>
      </c>
      <c r="AW54" s="41">
        <v>13671.0</v>
      </c>
      <c r="AX54" s="41">
        <v>22372.0</v>
      </c>
      <c r="AY54" s="41">
        <v>11186.0</v>
      </c>
      <c r="BA54" s="45">
        <v>7457.0</v>
      </c>
      <c r="BB54" s="45">
        <v>4971.0</v>
      </c>
      <c r="BD54" s="41">
        <v>4971.0</v>
      </c>
      <c r="BE54" s="41">
        <v>14914.0</v>
      </c>
      <c r="BG54" s="41">
        <v>12429.0</v>
      </c>
      <c r="BH54" s="41">
        <v>22372.0</v>
      </c>
      <c r="BI54" s="41">
        <v>27343.0</v>
      </c>
    </row>
    <row r="55" ht="12.75" customHeight="1">
      <c r="A55" s="34">
        <v>50.0</v>
      </c>
      <c r="B55" s="41">
        <v>4715.0</v>
      </c>
      <c r="E55" s="41">
        <v>3929.0</v>
      </c>
      <c r="H55" s="41">
        <v>7073.0</v>
      </c>
      <c r="K55" s="41">
        <v>19648.0</v>
      </c>
      <c r="L55" s="41">
        <v>26197.0</v>
      </c>
      <c r="M55" s="41">
        <v>15718.0</v>
      </c>
      <c r="N55" s="41">
        <v>31437.0</v>
      </c>
      <c r="O55" s="41">
        <v>47156.0</v>
      </c>
      <c r="P55" s="41">
        <v>78593.0</v>
      </c>
      <c r="Q55" s="41">
        <v>78593.0</v>
      </c>
      <c r="R55" s="41">
        <v>6549.0</v>
      </c>
      <c r="T55" s="41">
        <v>32747.0</v>
      </c>
      <c r="U55" s="41">
        <v>6549.0</v>
      </c>
      <c r="W55" s="45">
        <v>20958.0</v>
      </c>
      <c r="Z55" s="41">
        <v>26197.0</v>
      </c>
      <c r="AA55" s="41">
        <v>15718.0</v>
      </c>
      <c r="AC55" s="41">
        <v>5894.0</v>
      </c>
      <c r="AF55" s="41">
        <v>5108.0</v>
      </c>
      <c r="AI55" s="41">
        <v>5108.0</v>
      </c>
      <c r="AL55" s="41">
        <v>7073.0</v>
      </c>
      <c r="AM55" s="41">
        <v>10217.0</v>
      </c>
      <c r="AO55" s="41">
        <v>23578.0</v>
      </c>
      <c r="AP55" s="41">
        <v>4715.0</v>
      </c>
      <c r="AQ55" s="41">
        <v>19648.0</v>
      </c>
      <c r="AR55" s="41">
        <v>47156.0</v>
      </c>
      <c r="AS55" s="41">
        <v>6680.0</v>
      </c>
      <c r="AT55" s="41">
        <v>32747.0</v>
      </c>
      <c r="AU55" s="41">
        <v>28817.0</v>
      </c>
      <c r="AV55" s="41">
        <v>20172.0</v>
      </c>
      <c r="AW55" s="41">
        <v>14408.0</v>
      </c>
      <c r="AX55" s="41">
        <v>23578.0</v>
      </c>
      <c r="AY55" s="41">
        <v>11789.0</v>
      </c>
      <c r="BA55" s="41">
        <v>7859.0</v>
      </c>
      <c r="BB55" s="41">
        <v>5239.0</v>
      </c>
      <c r="BD55" s="41">
        <v>5239.0</v>
      </c>
      <c r="BE55" s="41">
        <v>15718.0</v>
      </c>
      <c r="BG55" s="41">
        <v>13098.0</v>
      </c>
      <c r="BH55" s="41">
        <v>23578.0</v>
      </c>
      <c r="BI55" s="41">
        <v>28817.0</v>
      </c>
    </row>
    <row r="56" ht="12.75" customHeight="1">
      <c r="A56" s="34">
        <v>51.0</v>
      </c>
      <c r="B56" s="45">
        <v>4797.0</v>
      </c>
      <c r="E56" s="45">
        <v>3997.0</v>
      </c>
      <c r="H56" s="45">
        <v>7195.0</v>
      </c>
      <c r="K56" s="45">
        <v>19988.0</v>
      </c>
      <c r="L56" s="45">
        <v>26651.0</v>
      </c>
      <c r="M56" s="45">
        <v>15990.0</v>
      </c>
      <c r="N56" s="45">
        <v>31981.0</v>
      </c>
      <c r="O56" s="45">
        <v>47972.0</v>
      </c>
      <c r="P56" s="45">
        <v>79954.0</v>
      </c>
      <c r="Q56" s="45">
        <v>79954.0</v>
      </c>
      <c r="R56" s="45">
        <v>6662.0</v>
      </c>
      <c r="T56" s="45">
        <v>33314.0</v>
      </c>
      <c r="U56" s="45">
        <v>6662.0</v>
      </c>
      <c r="W56" s="45">
        <v>21321.0</v>
      </c>
      <c r="Z56" s="45">
        <v>26651.0</v>
      </c>
      <c r="AA56" s="45">
        <v>15590.0</v>
      </c>
      <c r="AC56" s="45">
        <v>5996.0</v>
      </c>
      <c r="AF56" s="45">
        <v>5197.0</v>
      </c>
      <c r="AI56" s="45">
        <v>5197.0</v>
      </c>
      <c r="AL56" s="45">
        <v>7195.0</v>
      </c>
      <c r="AM56" s="45">
        <v>10394.0</v>
      </c>
      <c r="AO56" s="45">
        <v>23986.0</v>
      </c>
      <c r="AP56" s="45">
        <v>4797.0</v>
      </c>
      <c r="AQ56" s="45">
        <v>19988.0</v>
      </c>
      <c r="AR56" s="45">
        <v>47972.0</v>
      </c>
      <c r="AS56" s="45">
        <v>6796.0</v>
      </c>
      <c r="AT56" s="45">
        <v>33314.0</v>
      </c>
      <c r="AU56" s="45">
        <v>29316.0</v>
      </c>
      <c r="AV56" s="45">
        <v>20521.0</v>
      </c>
      <c r="AW56" s="45">
        <v>14658.0</v>
      </c>
      <c r="AX56" s="45">
        <v>23986.0</v>
      </c>
      <c r="AY56" s="45">
        <v>11993.0</v>
      </c>
      <c r="BA56" s="45">
        <v>7995.0</v>
      </c>
      <c r="BB56" s="45">
        <v>5330.0</v>
      </c>
      <c r="BD56" s="45">
        <v>5330.0</v>
      </c>
      <c r="BE56" s="45">
        <v>15990.0</v>
      </c>
      <c r="BG56" s="45">
        <v>13325.0</v>
      </c>
      <c r="BH56" s="45">
        <v>23986.0</v>
      </c>
      <c r="BI56" s="45">
        <v>29316.0</v>
      </c>
    </row>
    <row r="57" ht="12.75" customHeight="1">
      <c r="A57" s="34">
        <v>52.0</v>
      </c>
      <c r="B57" s="45">
        <v>4880.0</v>
      </c>
      <c r="E57" s="45">
        <v>4067.0</v>
      </c>
      <c r="H57" s="45">
        <v>7320.0</v>
      </c>
      <c r="K57" s="45">
        <v>20335.0</v>
      </c>
      <c r="L57" s="45">
        <v>27113.0</v>
      </c>
      <c r="M57" s="45">
        <v>16268.0</v>
      </c>
      <c r="N57" s="45">
        <v>32536.0</v>
      </c>
      <c r="O57" s="45">
        <v>48804.0</v>
      </c>
      <c r="P57" s="45">
        <v>81340.0</v>
      </c>
      <c r="Q57" s="45">
        <v>81340.0</v>
      </c>
      <c r="R57" s="45">
        <v>6778.0</v>
      </c>
      <c r="T57" s="45">
        <v>33891.0</v>
      </c>
      <c r="U57" s="45">
        <v>6778.0</v>
      </c>
      <c r="W57" s="45">
        <v>21690.0</v>
      </c>
      <c r="Z57" s="45">
        <v>27113.0</v>
      </c>
      <c r="AA57" s="45">
        <v>16268.0</v>
      </c>
      <c r="AC57" s="45">
        <v>6100.0</v>
      </c>
      <c r="AF57" s="45">
        <v>5287.0</v>
      </c>
      <c r="AI57" s="45">
        <v>5289.0</v>
      </c>
      <c r="AL57" s="45">
        <v>7320.0</v>
      </c>
      <c r="AM57" s="45">
        <v>10574.0</v>
      </c>
      <c r="AO57" s="45">
        <v>24402.0</v>
      </c>
      <c r="AP57" s="45">
        <v>4880.0</v>
      </c>
      <c r="AQ57" s="45">
        <v>20335.0</v>
      </c>
      <c r="AR57" s="45">
        <v>48804.0</v>
      </c>
      <c r="AS57" s="45">
        <v>6913.0</v>
      </c>
      <c r="AT57" s="45">
        <v>33891.0</v>
      </c>
      <c r="AU57" s="45">
        <v>29824.0</v>
      </c>
      <c r="AV57" s="45">
        <v>20877.0</v>
      </c>
      <c r="AW57" s="45">
        <v>14912.0</v>
      </c>
      <c r="AX57" s="45">
        <v>24402.0</v>
      </c>
      <c r="AY57" s="45">
        <v>12201.0</v>
      </c>
      <c r="BA57" s="45">
        <v>8134.0</v>
      </c>
      <c r="BB57" s="45">
        <v>5422.0</v>
      </c>
      <c r="BD57" s="45">
        <v>5422.0</v>
      </c>
      <c r="BE57" s="45">
        <v>16268.0</v>
      </c>
      <c r="BG57" s="45">
        <v>13556.0</v>
      </c>
      <c r="BH57" s="45">
        <v>24402.0</v>
      </c>
      <c r="BI57" s="45">
        <v>29824.0</v>
      </c>
    </row>
    <row r="58" ht="12.75" customHeight="1">
      <c r="A58" s="34">
        <v>53.0</v>
      </c>
      <c r="B58" s="45">
        <v>4965.0</v>
      </c>
      <c r="E58" s="45">
        <v>4138.0</v>
      </c>
      <c r="H58" s="45">
        <v>7448.0</v>
      </c>
      <c r="K58" s="45">
        <v>20691.0</v>
      </c>
      <c r="L58" s="45">
        <v>27588.0</v>
      </c>
      <c r="M58" s="45">
        <v>16552.0</v>
      </c>
      <c r="N58" s="45">
        <v>33105.0</v>
      </c>
      <c r="O58" s="45">
        <v>49658.0</v>
      </c>
      <c r="P58" s="45">
        <v>82764.0</v>
      </c>
      <c r="Q58" s="45">
        <v>82764.0</v>
      </c>
      <c r="R58" s="45">
        <v>6897.0</v>
      </c>
      <c r="T58" s="45">
        <v>34485.0</v>
      </c>
      <c r="U58" s="45">
        <v>6897.0</v>
      </c>
      <c r="W58" s="45">
        <v>22070.0</v>
      </c>
      <c r="Z58" s="45">
        <v>27588.0</v>
      </c>
      <c r="AA58" s="45">
        <v>16552.0</v>
      </c>
      <c r="AC58" s="45">
        <v>6207.0</v>
      </c>
      <c r="AF58" s="45">
        <v>5379.0</v>
      </c>
      <c r="AI58" s="45">
        <v>5379.0</v>
      </c>
      <c r="AL58" s="45">
        <v>7448.0</v>
      </c>
      <c r="AM58" s="45">
        <v>10759.0</v>
      </c>
      <c r="AO58" s="45">
        <v>24829.0</v>
      </c>
      <c r="AP58" s="45">
        <v>4965.0</v>
      </c>
      <c r="AQ58" s="45">
        <v>20691.0</v>
      </c>
      <c r="AR58" s="45">
        <v>49658.0</v>
      </c>
      <c r="AS58" s="45">
        <v>7034.0</v>
      </c>
      <c r="AT58" s="45">
        <v>34485.0</v>
      </c>
      <c r="AU58" s="45">
        <v>30346.0</v>
      </c>
      <c r="AV58" s="45">
        <v>21242.0</v>
      </c>
      <c r="AW58" s="45">
        <v>15173.0</v>
      </c>
      <c r="AX58" s="45">
        <v>24829.0</v>
      </c>
      <c r="AY58" s="45">
        <v>12414.0</v>
      </c>
      <c r="BA58" s="45">
        <v>8276.0</v>
      </c>
      <c r="BB58" s="45">
        <v>5517.0</v>
      </c>
      <c r="BD58" s="45">
        <v>5517.0</v>
      </c>
      <c r="BE58" s="45">
        <v>16552.0</v>
      </c>
      <c r="BG58" s="45">
        <v>13794.0</v>
      </c>
      <c r="BH58" s="45">
        <v>24829.0</v>
      </c>
      <c r="BI58" s="45">
        <v>30346.0</v>
      </c>
    </row>
    <row r="59" ht="12.75" customHeight="1">
      <c r="A59" s="34">
        <v>54.0</v>
      </c>
      <c r="B59" s="45">
        <v>5053.0</v>
      </c>
      <c r="E59" s="45">
        <v>4211.0</v>
      </c>
      <c r="H59" s="45">
        <v>7580.0</v>
      </c>
      <c r="K59" s="45">
        <v>21056.0</v>
      </c>
      <c r="L59" s="45">
        <v>28075.0</v>
      </c>
      <c r="M59" s="45">
        <v>16845.0</v>
      </c>
      <c r="N59" s="45">
        <v>33690.0</v>
      </c>
      <c r="O59" s="45">
        <v>50535.0</v>
      </c>
      <c r="P59" s="45">
        <v>84225.0</v>
      </c>
      <c r="Q59" s="45">
        <v>84225.0</v>
      </c>
      <c r="R59" s="45">
        <v>7018.0</v>
      </c>
      <c r="T59" s="45">
        <v>35094.0</v>
      </c>
      <c r="U59" s="45">
        <v>7018.0</v>
      </c>
      <c r="Z59" s="45">
        <v>28075.0</v>
      </c>
      <c r="AA59" s="45">
        <v>16845.0</v>
      </c>
      <c r="AC59" s="45">
        <v>6316.0</v>
      </c>
      <c r="AF59" s="45">
        <v>5474.0</v>
      </c>
      <c r="AI59" s="45">
        <v>5474.0</v>
      </c>
      <c r="AL59" s="45">
        <v>7580.0</v>
      </c>
      <c r="AM59" s="45">
        <v>10949.0</v>
      </c>
      <c r="AO59" s="45">
        <v>25267.0</v>
      </c>
      <c r="AP59" s="45">
        <v>5053.0</v>
      </c>
      <c r="AQ59" s="45">
        <v>21056.0</v>
      </c>
      <c r="AR59" s="45">
        <v>50535.0</v>
      </c>
      <c r="AS59" s="45">
        <v>7159.0</v>
      </c>
      <c r="AT59" s="45">
        <v>35094.0</v>
      </c>
      <c r="AU59" s="45">
        <v>30882.0</v>
      </c>
      <c r="AV59" s="45">
        <v>21617.0</v>
      </c>
      <c r="AW59" s="45">
        <v>15441.0</v>
      </c>
      <c r="AX59" s="45">
        <v>25267.0</v>
      </c>
      <c r="AY59" s="45">
        <v>12633.0</v>
      </c>
      <c r="BA59" s="45">
        <v>8422.0</v>
      </c>
      <c r="BB59" s="45">
        <v>5615.0</v>
      </c>
      <c r="BD59" s="45">
        <v>5615.0</v>
      </c>
      <c r="BE59" s="45">
        <v>16845.0</v>
      </c>
      <c r="BG59" s="45">
        <v>14037.0</v>
      </c>
      <c r="BH59" s="45">
        <v>25267.0</v>
      </c>
      <c r="BI59" s="45">
        <v>30882.0</v>
      </c>
    </row>
    <row r="60" ht="12.75" customHeight="1">
      <c r="A60" s="34">
        <v>55.0</v>
      </c>
      <c r="B60" s="45"/>
      <c r="E60" s="45">
        <v>4286.0</v>
      </c>
      <c r="H60" s="45">
        <v>7715.0</v>
      </c>
      <c r="K60" s="45">
        <v>21431.0</v>
      </c>
      <c r="L60" s="45">
        <v>28575.0</v>
      </c>
      <c r="M60" s="45">
        <v>17145.0</v>
      </c>
      <c r="N60" s="45">
        <v>34290.0</v>
      </c>
      <c r="O60" s="45">
        <v>51435.0</v>
      </c>
      <c r="P60" s="45">
        <v>85725.0</v>
      </c>
      <c r="Q60" s="45">
        <v>85725.0</v>
      </c>
      <c r="R60" s="45">
        <v>7143.0</v>
      </c>
      <c r="T60" s="45">
        <v>35718.0</v>
      </c>
      <c r="U60" s="45">
        <v>7143.0</v>
      </c>
      <c r="Z60" s="45">
        <v>28575.0</v>
      </c>
      <c r="AA60" s="45">
        <v>17145.0</v>
      </c>
      <c r="AC60" s="45">
        <v>6429.0</v>
      </c>
      <c r="AF60" s="45">
        <v>5572.0</v>
      </c>
      <c r="AI60" s="45">
        <v>5572.0</v>
      </c>
      <c r="AL60" s="45">
        <v>7715.0</v>
      </c>
      <c r="AM60" s="45">
        <v>11144.0</v>
      </c>
      <c r="AO60" s="45">
        <v>25717.0</v>
      </c>
      <c r="AP60" s="45">
        <v>5143.0</v>
      </c>
      <c r="AQ60" s="45">
        <v>21431.0</v>
      </c>
      <c r="AR60" s="45">
        <v>51435.0</v>
      </c>
      <c r="AS60" s="45">
        <v>7286.0</v>
      </c>
      <c r="AT60" s="45">
        <v>35718.0</v>
      </c>
      <c r="AU60" s="45">
        <v>31432.0</v>
      </c>
      <c r="AV60" s="45">
        <v>22002.0</v>
      </c>
      <c r="AW60" s="45">
        <v>15716.0</v>
      </c>
      <c r="AX60" s="45">
        <v>25717.0</v>
      </c>
      <c r="AY60" s="45">
        <v>12858.0</v>
      </c>
      <c r="BA60" s="45">
        <v>8572.0</v>
      </c>
      <c r="BB60" s="45">
        <v>5715.0</v>
      </c>
      <c r="BD60" s="45">
        <v>5715.0</v>
      </c>
      <c r="BE60" s="45">
        <v>17145.0</v>
      </c>
      <c r="BG60" s="45">
        <v>14287.0</v>
      </c>
      <c r="BH60" s="45">
        <v>25717.0</v>
      </c>
      <c r="BI60" s="45">
        <v>31432.0</v>
      </c>
    </row>
    <row r="61" ht="12.75" customHeight="1">
      <c r="A61" s="34">
        <v>56.0</v>
      </c>
      <c r="Q61" s="45">
        <v>87262.0</v>
      </c>
      <c r="R61" s="45">
        <v>7271.0</v>
      </c>
      <c r="AR61" s="45">
        <v>52357.0</v>
      </c>
      <c r="AS61" s="45">
        <v>7417.0</v>
      </c>
      <c r="AT61" s="45">
        <v>36359.0</v>
      </c>
      <c r="BG61" s="45">
        <v>14543.0</v>
      </c>
      <c r="BH61" s="45">
        <v>26178.0</v>
      </c>
      <c r="BI61" s="45">
        <v>31996.0</v>
      </c>
    </row>
    <row r="62" ht="12.75" customHeight="1">
      <c r="A62" s="34">
        <v>57.0</v>
      </c>
      <c r="Q62" s="45">
        <v>88837.0</v>
      </c>
      <c r="R62" s="45">
        <v>7403.0</v>
      </c>
      <c r="AR62" s="45">
        <v>53302.0</v>
      </c>
      <c r="AS62" s="45">
        <v>7551.0</v>
      </c>
      <c r="AT62" s="45">
        <v>37015.0</v>
      </c>
      <c r="BG62" s="45">
        <v>14806.0</v>
      </c>
      <c r="BH62" s="45">
        <v>26651.0</v>
      </c>
      <c r="BI62" s="45">
        <v>32573.0</v>
      </c>
    </row>
    <row r="63" ht="12.75" customHeight="1">
      <c r="A63" s="34">
        <v>58.0</v>
      </c>
      <c r="Q63" s="45">
        <v>90450.0</v>
      </c>
      <c r="R63" s="45">
        <v>7537.0</v>
      </c>
      <c r="AR63" s="45">
        <v>54270.0</v>
      </c>
      <c r="AS63" s="45">
        <v>7688.0</v>
      </c>
      <c r="AT63" s="45">
        <v>37687.0</v>
      </c>
      <c r="BG63" s="45">
        <v>15075.0</v>
      </c>
      <c r="BH63" s="45">
        <v>27135.0</v>
      </c>
      <c r="BI63" s="45">
        <v>33165.0</v>
      </c>
    </row>
    <row r="64" ht="12.75" customHeight="1">
      <c r="A64" s="34">
        <v>59.0</v>
      </c>
      <c r="Q64" s="45">
        <v>92100.0</v>
      </c>
      <c r="R64" s="45">
        <v>7675.0</v>
      </c>
      <c r="AR64" s="45">
        <v>55260.0</v>
      </c>
      <c r="AS64" s="45">
        <v>7828.0</v>
      </c>
      <c r="AT64" s="45">
        <v>38375.0</v>
      </c>
      <c r="BG64" s="45">
        <v>15350.0</v>
      </c>
      <c r="BH64" s="45">
        <v>27630.0</v>
      </c>
      <c r="BI64" s="45">
        <v>33770.0</v>
      </c>
    </row>
    <row r="65" ht="12.75" customHeight="1">
      <c r="A65" s="34">
        <v>60.0</v>
      </c>
      <c r="Q65" s="45">
        <v>93801.0</v>
      </c>
      <c r="R65" s="45">
        <v>7816.0</v>
      </c>
      <c r="AR65" s="45">
        <v>56280.0</v>
      </c>
      <c r="AS65" s="45">
        <v>7973.0</v>
      </c>
      <c r="AT65" s="45">
        <v>39084.0</v>
      </c>
      <c r="BG65" s="45">
        <v>15633.0</v>
      </c>
      <c r="BH65" s="45">
        <v>28140.0</v>
      </c>
      <c r="BI65" s="45">
        <v>34393.0</v>
      </c>
    </row>
    <row r="66" ht="12.75" customHeight="1">
      <c r="B66" s="15" t="s">
        <v>151</v>
      </c>
    </row>
    <row r="67" ht="12.75" customHeight="1">
      <c r="B67" s="15"/>
      <c r="G67" s="15" t="s">
        <v>169</v>
      </c>
    </row>
    <row r="68" ht="12.75" customHeight="1">
      <c r="B68" s="15"/>
    </row>
    <row r="69" ht="12.75" customHeight="1">
      <c r="A69" s="39"/>
      <c r="B69" s="41" t="s">
        <v>81</v>
      </c>
      <c r="E69" s="41" t="s">
        <v>82</v>
      </c>
      <c r="H69" s="41" t="s">
        <v>83</v>
      </c>
      <c r="K69" s="41" t="s">
        <v>84</v>
      </c>
      <c r="N69" s="41" t="s">
        <v>85</v>
      </c>
      <c r="Q69" s="41" t="s">
        <v>86</v>
      </c>
      <c r="T69" s="41" t="s">
        <v>87</v>
      </c>
      <c r="W69" s="41" t="s">
        <v>88</v>
      </c>
      <c r="Z69" s="41" t="s">
        <v>89</v>
      </c>
      <c r="AC69" s="41" t="s">
        <v>90</v>
      </c>
      <c r="AF69" s="41" t="s">
        <v>91</v>
      </c>
      <c r="AI69" s="41" t="s">
        <v>92</v>
      </c>
      <c r="AL69" s="41" t="s">
        <v>93</v>
      </c>
      <c r="AO69" s="41" t="s">
        <v>95</v>
      </c>
      <c r="AR69" s="41" t="s">
        <v>96</v>
      </c>
      <c r="AU69" s="41" t="s">
        <v>97</v>
      </c>
      <c r="AX69" s="41" t="s">
        <v>98</v>
      </c>
      <c r="BA69" s="41" t="s">
        <v>99</v>
      </c>
      <c r="BD69" s="41" t="s">
        <v>100</v>
      </c>
      <c r="BG69" s="41" t="s">
        <v>101</v>
      </c>
    </row>
    <row r="70" ht="12.75" customHeight="1">
      <c r="A70" s="39"/>
      <c r="B70" s="41" t="s">
        <v>102</v>
      </c>
      <c r="E70" s="41" t="s">
        <v>103</v>
      </c>
      <c r="H70" s="41" t="s">
        <v>104</v>
      </c>
      <c r="K70" s="41" t="s">
        <v>105</v>
      </c>
      <c r="N70" s="41" t="s">
        <v>106</v>
      </c>
      <c r="Q70" s="41" t="s">
        <v>107</v>
      </c>
      <c r="T70" s="41" t="s">
        <v>108</v>
      </c>
      <c r="W70" s="41" t="s">
        <v>109</v>
      </c>
      <c r="Z70" s="41" t="s">
        <v>110</v>
      </c>
      <c r="AC70" s="41" t="s">
        <v>111</v>
      </c>
      <c r="AF70" s="41" t="s">
        <v>112</v>
      </c>
      <c r="AI70" s="41" t="s">
        <v>113</v>
      </c>
      <c r="AL70" s="41" t="s">
        <v>114</v>
      </c>
      <c r="AO70" s="41" t="s">
        <v>115</v>
      </c>
      <c r="AR70" s="41" t="s">
        <v>116</v>
      </c>
      <c r="AU70" s="41" t="s">
        <v>117</v>
      </c>
      <c r="AX70" s="41" t="s">
        <v>119</v>
      </c>
      <c r="BA70" s="41" t="s">
        <v>120</v>
      </c>
      <c r="BD70" s="41" t="s">
        <v>121</v>
      </c>
      <c r="BG70" s="41" t="s">
        <v>122</v>
      </c>
    </row>
    <row r="71" ht="12.75" customHeight="1">
      <c r="A71" s="47" t="s">
        <v>0</v>
      </c>
      <c r="B71" s="48" t="s">
        <v>123</v>
      </c>
      <c r="C71" s="48"/>
      <c r="D71" s="48"/>
      <c r="E71" s="48" t="s">
        <v>124</v>
      </c>
      <c r="F71" s="48"/>
      <c r="G71" s="48"/>
      <c r="H71" s="48" t="s">
        <v>125</v>
      </c>
      <c r="I71" s="48"/>
      <c r="J71" s="48"/>
      <c r="K71" s="48" t="s">
        <v>126</v>
      </c>
      <c r="L71" s="48"/>
      <c r="M71" s="48"/>
      <c r="N71" s="48" t="s">
        <v>127</v>
      </c>
      <c r="O71" s="48"/>
      <c r="P71" s="48"/>
      <c r="Q71" s="48" t="s">
        <v>129</v>
      </c>
      <c r="R71" s="48"/>
      <c r="S71" s="48"/>
      <c r="T71" s="48" t="s">
        <v>130</v>
      </c>
      <c r="U71" s="48"/>
      <c r="V71" s="48"/>
      <c r="W71" s="48" t="s">
        <v>131</v>
      </c>
      <c r="X71" s="48"/>
      <c r="Y71" s="48"/>
      <c r="Z71" s="48" t="s">
        <v>132</v>
      </c>
      <c r="AA71" s="48"/>
      <c r="AB71" s="48"/>
      <c r="AC71" s="48" t="s">
        <v>133</v>
      </c>
      <c r="AD71" s="48"/>
      <c r="AE71" s="48"/>
      <c r="AF71" s="48" t="s">
        <v>135</v>
      </c>
      <c r="AG71" s="48"/>
      <c r="AH71" s="48"/>
      <c r="AI71" s="48" t="s">
        <v>136</v>
      </c>
      <c r="AJ71" s="48"/>
      <c r="AK71" s="48"/>
      <c r="AL71" s="48" t="s">
        <v>137</v>
      </c>
      <c r="AM71" s="48"/>
      <c r="AN71" s="48"/>
      <c r="AO71" s="48" t="s">
        <v>138</v>
      </c>
      <c r="AP71" s="48"/>
      <c r="AQ71" s="48"/>
      <c r="AR71" s="48" t="s">
        <v>140</v>
      </c>
      <c r="AS71" s="48"/>
      <c r="AT71" s="48"/>
      <c r="AU71" s="48" t="s">
        <v>141</v>
      </c>
      <c r="AV71" s="48"/>
      <c r="AW71" s="48"/>
      <c r="AX71" s="48" t="s">
        <v>142</v>
      </c>
      <c r="AY71" s="48"/>
      <c r="AZ71" s="48"/>
      <c r="BA71" s="48" t="s">
        <v>143</v>
      </c>
      <c r="BB71" s="48"/>
      <c r="BC71" s="48"/>
      <c r="BD71" s="48" t="s">
        <v>144</v>
      </c>
      <c r="BE71" s="48"/>
      <c r="BF71" s="48"/>
      <c r="BG71" s="48" t="s">
        <v>145</v>
      </c>
      <c r="BH71" s="48"/>
      <c r="BI71" s="48"/>
    </row>
    <row r="72" ht="12.75" customHeight="1">
      <c r="A72" s="34">
        <v>50.0</v>
      </c>
      <c r="B72" s="9">
        <v>4780.0</v>
      </c>
      <c r="C72" s="78"/>
      <c r="D72" s="78"/>
      <c r="E72" s="9">
        <v>3983.0</v>
      </c>
      <c r="F72" s="78"/>
      <c r="G72" s="78"/>
      <c r="H72" s="9">
        <v>7170.0</v>
      </c>
      <c r="I72" s="78"/>
      <c r="J72" s="78"/>
      <c r="K72" s="9">
        <v>19918.0</v>
      </c>
      <c r="L72" s="9">
        <v>26558.0</v>
      </c>
      <c r="M72" s="9">
        <v>15934.0</v>
      </c>
      <c r="N72" s="9">
        <v>31869.0</v>
      </c>
      <c r="O72" s="9">
        <v>47804.0</v>
      </c>
      <c r="P72" s="9">
        <v>79674.0</v>
      </c>
      <c r="Q72" s="9">
        <v>79674.0</v>
      </c>
      <c r="R72" s="9">
        <v>6639.0</v>
      </c>
      <c r="S72" s="78"/>
      <c r="T72" s="9">
        <v>33197.0</v>
      </c>
      <c r="U72" s="9">
        <v>6639.0</v>
      </c>
      <c r="V72" s="78"/>
      <c r="W72" s="9">
        <v>21246.0</v>
      </c>
      <c r="X72" s="78"/>
      <c r="Y72" s="78"/>
      <c r="Z72" s="9">
        <v>26558.0</v>
      </c>
      <c r="AA72" s="9">
        <v>15934.0</v>
      </c>
      <c r="AB72" s="78"/>
      <c r="AC72" s="9">
        <v>5975.0</v>
      </c>
      <c r="AD72" s="78"/>
      <c r="AE72" s="78"/>
      <c r="AF72" s="9">
        <v>5178.0</v>
      </c>
      <c r="AG72" s="78"/>
      <c r="AH72" s="78"/>
      <c r="AI72" s="9">
        <v>5178.0</v>
      </c>
      <c r="AJ72" s="78"/>
      <c r="AK72" s="78"/>
      <c r="AL72" s="9">
        <v>7170.0</v>
      </c>
      <c r="AM72" s="9">
        <v>10357.0</v>
      </c>
      <c r="AN72" s="78"/>
      <c r="AO72" s="9">
        <v>23902.0</v>
      </c>
      <c r="AP72" s="9">
        <v>4780.0</v>
      </c>
      <c r="AQ72" s="9">
        <v>19918.0</v>
      </c>
      <c r="AR72" s="9">
        <v>47804.0</v>
      </c>
      <c r="AS72" s="9">
        <v>6772.0</v>
      </c>
      <c r="AT72" s="9">
        <v>33197.0</v>
      </c>
      <c r="AU72" s="9">
        <v>29213.0</v>
      </c>
      <c r="AV72" s="9">
        <v>20449.0</v>
      </c>
      <c r="AW72" s="9">
        <v>14606.0</v>
      </c>
      <c r="AX72" s="9">
        <v>23902.0</v>
      </c>
      <c r="AY72" s="9">
        <v>11951.0</v>
      </c>
      <c r="AZ72" s="78"/>
      <c r="BA72" s="9">
        <v>7967.0</v>
      </c>
      <c r="BB72" s="9">
        <v>5311.0</v>
      </c>
      <c r="BC72" s="78"/>
      <c r="BD72" s="9">
        <v>5311.0</v>
      </c>
      <c r="BE72" s="9">
        <v>15934.0</v>
      </c>
      <c r="BF72" s="78"/>
      <c r="BG72" s="9">
        <v>13279.0</v>
      </c>
      <c r="BH72" s="9">
        <v>23902.0</v>
      </c>
      <c r="BI72" s="9">
        <v>29213.0</v>
      </c>
    </row>
    <row r="73" ht="12.75" customHeight="1">
      <c r="A73" s="34">
        <v>51.0</v>
      </c>
      <c r="B73" s="79">
        <v>4862.0</v>
      </c>
      <c r="C73" s="78"/>
      <c r="D73" s="78"/>
      <c r="E73" s="79">
        <v>4051.0</v>
      </c>
      <c r="F73" s="78"/>
      <c r="G73" s="78"/>
      <c r="H73" s="79">
        <v>7293.0</v>
      </c>
      <c r="I73" s="78"/>
      <c r="J73" s="78"/>
      <c r="K73" s="79">
        <v>20258.0</v>
      </c>
      <c r="L73" s="79">
        <v>27011.0</v>
      </c>
      <c r="M73" s="79">
        <v>16207.0</v>
      </c>
      <c r="N73" s="79">
        <v>32414.0</v>
      </c>
      <c r="O73" s="79">
        <v>48621.0</v>
      </c>
      <c r="P73" s="79">
        <v>81035.0</v>
      </c>
      <c r="Q73" s="79">
        <v>81035.0</v>
      </c>
      <c r="R73" s="79">
        <v>6752.0</v>
      </c>
      <c r="S73" s="78"/>
      <c r="T73" s="79">
        <v>33764.0</v>
      </c>
      <c r="U73" s="79">
        <v>6752.0</v>
      </c>
      <c r="V73" s="78"/>
      <c r="W73" s="79">
        <v>21609.0</v>
      </c>
      <c r="X73" s="78"/>
      <c r="Y73" s="78"/>
      <c r="Z73" s="79">
        <v>27011.0</v>
      </c>
      <c r="AA73" s="79">
        <v>16207.0</v>
      </c>
      <c r="AB73" s="78"/>
      <c r="AC73" s="79">
        <v>6077.0</v>
      </c>
      <c r="AD73" s="78"/>
      <c r="AE73" s="78"/>
      <c r="AF73" s="79">
        <v>5267.0</v>
      </c>
      <c r="AG73" s="78"/>
      <c r="AH73" s="78"/>
      <c r="AI73" s="79">
        <v>5267.0</v>
      </c>
      <c r="AJ73" s="78"/>
      <c r="AK73" s="78"/>
      <c r="AL73" s="79">
        <v>7293.0</v>
      </c>
      <c r="AM73" s="79">
        <v>10534.0</v>
      </c>
      <c r="AN73" s="78"/>
      <c r="AO73" s="79">
        <v>24310.0</v>
      </c>
      <c r="AP73" s="79">
        <v>4862.0</v>
      </c>
      <c r="AQ73" s="79">
        <v>20258.0</v>
      </c>
      <c r="AR73" s="79">
        <v>48621.0</v>
      </c>
      <c r="AS73" s="79">
        <v>6887.0</v>
      </c>
      <c r="AT73" s="79">
        <v>33764.0</v>
      </c>
      <c r="AU73" s="79">
        <v>29712.0</v>
      </c>
      <c r="AV73" s="79">
        <v>20799.0</v>
      </c>
      <c r="AW73" s="79">
        <v>14856.0</v>
      </c>
      <c r="AX73" s="79">
        <v>24310.0</v>
      </c>
      <c r="AY73" s="79">
        <v>12155.0</v>
      </c>
      <c r="AZ73" s="78"/>
      <c r="BA73" s="79">
        <v>8103.0</v>
      </c>
      <c r="BB73" s="79">
        <v>5402.0</v>
      </c>
      <c r="BC73" s="78"/>
      <c r="BD73" s="79">
        <v>5402.0</v>
      </c>
      <c r="BE73" s="79">
        <v>16207.0</v>
      </c>
      <c r="BF73" s="78"/>
      <c r="BG73" s="79">
        <v>13505.0</v>
      </c>
      <c r="BH73" s="79">
        <v>24310.0</v>
      </c>
      <c r="BI73" s="79">
        <v>29712.0</v>
      </c>
    </row>
    <row r="74" ht="12.75" customHeight="1">
      <c r="A74" s="34">
        <v>52.0</v>
      </c>
      <c r="B74" s="79">
        <v>4945.0</v>
      </c>
      <c r="C74" s="78"/>
      <c r="D74" s="78"/>
      <c r="E74" s="79">
        <v>4121.0</v>
      </c>
      <c r="F74" s="78"/>
      <c r="G74" s="78"/>
      <c r="H74" s="79">
        <v>7417.0</v>
      </c>
      <c r="I74" s="78"/>
      <c r="J74" s="78"/>
      <c r="K74" s="79">
        <v>20605.0</v>
      </c>
      <c r="L74" s="79">
        <v>27473.0</v>
      </c>
      <c r="M74" s="79">
        <v>16484.0</v>
      </c>
      <c r="N74" s="79">
        <v>32968.0</v>
      </c>
      <c r="O74" s="79">
        <v>49452.0</v>
      </c>
      <c r="P74" s="79">
        <v>82421.0</v>
      </c>
      <c r="Q74" s="79">
        <v>82421.0</v>
      </c>
      <c r="R74" s="79">
        <v>6868.0</v>
      </c>
      <c r="S74" s="78"/>
      <c r="T74" s="79">
        <v>34342.0</v>
      </c>
      <c r="U74" s="79">
        <v>6868.0</v>
      </c>
      <c r="V74" s="78"/>
      <c r="W74" s="79">
        <v>21979.0</v>
      </c>
      <c r="X74" s="78"/>
      <c r="Y74" s="78"/>
      <c r="Z74" s="79">
        <v>27473.0</v>
      </c>
      <c r="AA74" s="79">
        <v>16464.0</v>
      </c>
      <c r="AB74" s="78"/>
      <c r="AC74" s="79">
        <v>6181.0</v>
      </c>
      <c r="AD74" s="78"/>
      <c r="AE74" s="78"/>
      <c r="AF74" s="79">
        <v>5357.0</v>
      </c>
      <c r="AG74" s="78"/>
      <c r="AH74" s="78"/>
      <c r="AI74" s="79">
        <v>5357.0</v>
      </c>
      <c r="AJ74" s="78"/>
      <c r="AK74" s="78"/>
      <c r="AL74" s="79">
        <v>7417.0</v>
      </c>
      <c r="AM74" s="79">
        <v>10714.0</v>
      </c>
      <c r="AN74" s="78"/>
      <c r="AO74" s="79">
        <v>24726.0</v>
      </c>
      <c r="AP74" s="79">
        <v>4945.0</v>
      </c>
      <c r="AQ74" s="79">
        <v>20605.0</v>
      </c>
      <c r="AR74" s="79">
        <v>49452.0</v>
      </c>
      <c r="AS74" s="79">
        <v>7005.0</v>
      </c>
      <c r="AT74" s="79">
        <v>34342.0</v>
      </c>
      <c r="AU74" s="79">
        <v>30221.0</v>
      </c>
      <c r="AV74" s="79">
        <v>21154.0</v>
      </c>
      <c r="AW74" s="79">
        <v>15110.0</v>
      </c>
      <c r="AX74" s="79">
        <v>24726.0</v>
      </c>
      <c r="AY74" s="79">
        <v>12363.0</v>
      </c>
      <c r="AZ74" s="78"/>
      <c r="BA74" s="79">
        <v>8242.0</v>
      </c>
      <c r="BB74" s="79">
        <v>5494.0</v>
      </c>
      <c r="BC74" s="78"/>
      <c r="BD74" s="79">
        <v>5494.0</v>
      </c>
      <c r="BE74" s="79">
        <v>16484.0</v>
      </c>
      <c r="BF74" s="78"/>
      <c r="BG74" s="79">
        <v>13736.0</v>
      </c>
      <c r="BH74" s="79">
        <v>24726.0</v>
      </c>
      <c r="BI74" s="79">
        <v>30221.0</v>
      </c>
    </row>
    <row r="75" ht="12.75" customHeight="1">
      <c r="A75" s="34">
        <v>53.0</v>
      </c>
      <c r="B75" s="79">
        <v>5030.0</v>
      </c>
      <c r="C75" s="78"/>
      <c r="D75" s="78"/>
      <c r="E75" s="79">
        <v>4192.0</v>
      </c>
      <c r="F75" s="78"/>
      <c r="G75" s="78"/>
      <c r="H75" s="79">
        <v>7546.0</v>
      </c>
      <c r="I75" s="78"/>
      <c r="J75" s="78"/>
      <c r="K75" s="79">
        <v>20961.0</v>
      </c>
      <c r="L75" s="79">
        <v>27948.0</v>
      </c>
      <c r="M75" s="79">
        <v>16769.0</v>
      </c>
      <c r="N75" s="79">
        <v>33538.0</v>
      </c>
      <c r="O75" s="79">
        <v>50307.0</v>
      </c>
      <c r="P75" s="79">
        <v>83845.0</v>
      </c>
      <c r="Q75" s="79">
        <v>83845.0</v>
      </c>
      <c r="R75" s="79">
        <v>6987.0</v>
      </c>
      <c r="S75" s="78"/>
      <c r="T75" s="79">
        <v>34935.0</v>
      </c>
      <c r="U75" s="79">
        <v>6987.0</v>
      </c>
      <c r="V75" s="78"/>
      <c r="W75" s="79">
        <v>22358.0</v>
      </c>
      <c r="X75" s="78"/>
      <c r="Y75" s="78"/>
      <c r="Z75" s="79">
        <v>27948.0</v>
      </c>
      <c r="AA75" s="79">
        <v>16769.0</v>
      </c>
      <c r="AB75" s="78"/>
      <c r="AC75" s="79">
        <v>6288.0</v>
      </c>
      <c r="AD75" s="78"/>
      <c r="AE75" s="78"/>
      <c r="AF75" s="79">
        <v>5449.0</v>
      </c>
      <c r="AG75" s="78"/>
      <c r="AH75" s="78"/>
      <c r="AI75" s="79">
        <v>5449.0</v>
      </c>
      <c r="AJ75" s="78"/>
      <c r="AK75" s="78"/>
      <c r="AL75" s="79">
        <v>7546.0</v>
      </c>
      <c r="AM75" s="79">
        <v>10899.0</v>
      </c>
      <c r="AN75" s="78"/>
      <c r="AO75" s="79">
        <v>25153.0</v>
      </c>
      <c r="AP75" s="79">
        <v>5030.0</v>
      </c>
      <c r="AQ75" s="79">
        <v>20961.0</v>
      </c>
      <c r="AR75" s="79">
        <v>50307.0</v>
      </c>
      <c r="AS75" s="79">
        <v>7126.0</v>
      </c>
      <c r="AT75" s="79">
        <v>34935.0</v>
      </c>
      <c r="AU75" s="79">
        <v>30743.0</v>
      </c>
      <c r="AV75" s="79">
        <v>21520.0</v>
      </c>
      <c r="AW75" s="79">
        <v>15371.0</v>
      </c>
      <c r="AX75" s="79">
        <v>25153.0</v>
      </c>
      <c r="AY75" s="79">
        <v>12576.0</v>
      </c>
      <c r="AZ75" s="78"/>
      <c r="BA75" s="79">
        <v>8384.0</v>
      </c>
      <c r="BB75" s="79">
        <v>5589.0</v>
      </c>
      <c r="BC75" s="78"/>
      <c r="BD75" s="79">
        <v>5589.0</v>
      </c>
      <c r="BE75" s="79">
        <v>16769.0</v>
      </c>
      <c r="BF75" s="78"/>
      <c r="BG75" s="79">
        <v>13974.0</v>
      </c>
      <c r="BH75" s="79">
        <v>25153.0</v>
      </c>
      <c r="BI75" s="79">
        <v>30743.0</v>
      </c>
    </row>
    <row r="76" ht="12.75" customHeight="1">
      <c r="A76" s="34">
        <v>54.0</v>
      </c>
      <c r="B76" s="79">
        <v>5118.0</v>
      </c>
      <c r="C76" s="78"/>
      <c r="D76" s="78"/>
      <c r="E76" s="79">
        <v>4265.0</v>
      </c>
      <c r="F76" s="78"/>
      <c r="G76" s="78"/>
      <c r="H76" s="79">
        <v>7677.0</v>
      </c>
      <c r="I76" s="78"/>
      <c r="J76" s="78"/>
      <c r="K76" s="79">
        <v>21326.0</v>
      </c>
      <c r="L76" s="79">
        <v>28435.0</v>
      </c>
      <c r="M76" s="79">
        <v>17061.0</v>
      </c>
      <c r="N76" s="79">
        <v>34122.0</v>
      </c>
      <c r="O76" s="79">
        <v>51184.0</v>
      </c>
      <c r="P76" s="79">
        <v>85306.0</v>
      </c>
      <c r="Q76" s="79">
        <v>85306.0</v>
      </c>
      <c r="R76" s="79">
        <v>7108.0</v>
      </c>
      <c r="S76" s="78"/>
      <c r="T76" s="79">
        <v>35544.0</v>
      </c>
      <c r="U76" s="79">
        <v>7108.0</v>
      </c>
      <c r="V76" s="78"/>
      <c r="W76" s="79">
        <v>22748.0</v>
      </c>
      <c r="X76" s="78"/>
      <c r="Y76" s="78"/>
      <c r="Z76" s="79">
        <v>28435.0</v>
      </c>
      <c r="AA76" s="79">
        <v>17061.0</v>
      </c>
      <c r="AB76" s="78"/>
      <c r="AC76" s="79">
        <v>6398.0</v>
      </c>
      <c r="AD76" s="78"/>
      <c r="AE76" s="78"/>
      <c r="AF76" s="79">
        <v>5544.0</v>
      </c>
      <c r="AG76" s="78"/>
      <c r="AH76" s="78"/>
      <c r="AI76" s="79">
        <v>5544.0</v>
      </c>
      <c r="AJ76" s="78"/>
      <c r="AK76" s="78"/>
      <c r="AL76" s="79">
        <v>7677.0</v>
      </c>
      <c r="AM76" s="79">
        <v>11089.0</v>
      </c>
      <c r="AN76" s="78"/>
      <c r="AO76" s="79">
        <v>25592.0</v>
      </c>
      <c r="AP76" s="79">
        <v>5118.0</v>
      </c>
      <c r="AQ76" s="79">
        <v>21326.0</v>
      </c>
      <c r="AR76" s="79">
        <v>51184.0</v>
      </c>
      <c r="AS76" s="79">
        <v>7251.0</v>
      </c>
      <c r="AT76" s="79">
        <v>35544.0</v>
      </c>
      <c r="AU76" s="79">
        <v>31279.0</v>
      </c>
      <c r="AV76" s="79">
        <v>21895.0</v>
      </c>
      <c r="AW76" s="79">
        <v>15639.0</v>
      </c>
      <c r="AX76" s="79">
        <v>25592.0</v>
      </c>
      <c r="AY76" s="79">
        <v>12796.0</v>
      </c>
      <c r="AZ76" s="78"/>
      <c r="BA76" s="79">
        <v>8530.0</v>
      </c>
      <c r="BB76" s="79">
        <v>5687.0</v>
      </c>
      <c r="BC76" s="78"/>
      <c r="BD76" s="79">
        <v>5687.0</v>
      </c>
      <c r="BE76" s="79">
        <v>17061.0</v>
      </c>
      <c r="BF76" s="78"/>
      <c r="BG76" s="79">
        <v>14217.0</v>
      </c>
      <c r="BH76" s="79">
        <v>25592.0</v>
      </c>
      <c r="BI76" s="79">
        <v>31279.0</v>
      </c>
    </row>
    <row r="77" ht="12.75" customHeight="1">
      <c r="A77" s="34">
        <v>55.0</v>
      </c>
      <c r="B77" s="79">
        <v>5208.0</v>
      </c>
      <c r="C77" s="78"/>
      <c r="D77" s="78"/>
      <c r="E77" s="79">
        <v>4340.0</v>
      </c>
      <c r="F77" s="78"/>
      <c r="G77" s="78"/>
      <c r="H77" s="79">
        <v>7812.0</v>
      </c>
      <c r="I77" s="78"/>
      <c r="J77" s="78"/>
      <c r="K77" s="79">
        <v>21701.0</v>
      </c>
      <c r="L77" s="79">
        <v>28935.0</v>
      </c>
      <c r="M77" s="79">
        <v>17361.0</v>
      </c>
      <c r="N77" s="79">
        <v>34722.0</v>
      </c>
      <c r="O77" s="79">
        <v>52083.0</v>
      </c>
      <c r="P77" s="79">
        <v>86806.0</v>
      </c>
      <c r="Q77" s="79">
        <v>86806.0</v>
      </c>
      <c r="R77" s="79">
        <v>7233.0</v>
      </c>
      <c r="S77" s="78"/>
      <c r="T77" s="79">
        <v>36169.0</v>
      </c>
      <c r="U77" s="79">
        <v>7233.0</v>
      </c>
      <c r="V77" s="78"/>
      <c r="W77" s="79">
        <v>23148.0</v>
      </c>
      <c r="X77" s="78"/>
      <c r="Y77" s="78"/>
      <c r="Z77" s="79">
        <v>28935.0</v>
      </c>
      <c r="AA77" s="79">
        <v>17361.0</v>
      </c>
      <c r="AB77" s="78"/>
      <c r="AC77" s="79">
        <v>6510.0</v>
      </c>
      <c r="AD77" s="78"/>
      <c r="AE77" s="78"/>
      <c r="AF77" s="79">
        <v>5642.0</v>
      </c>
      <c r="AG77" s="78"/>
      <c r="AH77" s="78"/>
      <c r="AI77" s="79">
        <v>5642.0</v>
      </c>
      <c r="AJ77" s="78"/>
      <c r="AK77" s="78"/>
      <c r="AL77" s="79">
        <v>7812.0</v>
      </c>
      <c r="AM77" s="79">
        <v>11284.0</v>
      </c>
      <c r="AN77" s="78"/>
      <c r="AO77" s="79">
        <v>26041.0</v>
      </c>
      <c r="AP77" s="79">
        <v>5208.0</v>
      </c>
      <c r="AQ77" s="79">
        <v>21701.0</v>
      </c>
      <c r="AR77" s="79">
        <v>52083.0</v>
      </c>
      <c r="AS77" s="79">
        <v>7378.0</v>
      </c>
      <c r="AT77" s="79">
        <v>36169.0</v>
      </c>
      <c r="AU77" s="79">
        <v>31828.0</v>
      </c>
      <c r="AV77" s="79">
        <v>22280.0</v>
      </c>
      <c r="AW77" s="79">
        <v>15914.0</v>
      </c>
      <c r="AX77" s="79">
        <v>26041.0</v>
      </c>
      <c r="AY77" s="79">
        <v>13020.0</v>
      </c>
      <c r="AZ77" s="78"/>
      <c r="BA77" s="79">
        <v>8680.0</v>
      </c>
      <c r="BB77" s="79">
        <v>5787.0</v>
      </c>
      <c r="BC77" s="78"/>
      <c r="BD77" s="79">
        <v>5787.0</v>
      </c>
      <c r="BE77" s="79">
        <v>17361.0</v>
      </c>
      <c r="BF77" s="78"/>
      <c r="BG77" s="79">
        <v>14467.0</v>
      </c>
      <c r="BH77" s="79">
        <v>26041.0</v>
      </c>
      <c r="BI77" s="79">
        <v>31828.0</v>
      </c>
    </row>
    <row r="78" ht="12.75" customHeight="1">
      <c r="A78" s="34">
        <v>56.0</v>
      </c>
      <c r="B78" s="79">
        <v>5300.0</v>
      </c>
      <c r="C78" s="78"/>
      <c r="D78" s="78"/>
      <c r="E78" s="79">
        <v>4417.0</v>
      </c>
      <c r="F78" s="78"/>
      <c r="G78" s="78"/>
      <c r="H78" s="79">
        <v>7950.0</v>
      </c>
      <c r="I78" s="78"/>
      <c r="J78" s="78"/>
      <c r="K78" s="79">
        <v>22085.0</v>
      </c>
      <c r="L78" s="79">
        <v>29447.0</v>
      </c>
      <c r="M78" s="79">
        <v>17668.0</v>
      </c>
      <c r="N78" s="79">
        <v>35337.0</v>
      </c>
      <c r="O78" s="79">
        <v>53005.0</v>
      </c>
      <c r="P78" s="79">
        <v>88343.0</v>
      </c>
      <c r="Q78" s="79">
        <v>88343.0</v>
      </c>
      <c r="R78" s="79">
        <v>7361.0</v>
      </c>
      <c r="S78" s="78"/>
      <c r="T78" s="79">
        <v>36809.0</v>
      </c>
      <c r="U78" s="79">
        <v>7361.0</v>
      </c>
      <c r="V78" s="78"/>
      <c r="W78" s="79">
        <v>23558.0</v>
      </c>
      <c r="X78" s="78"/>
      <c r="Y78" s="78"/>
      <c r="Z78" s="79">
        <v>29447.0</v>
      </c>
      <c r="AA78" s="79">
        <v>17668.0</v>
      </c>
      <c r="AB78" s="78"/>
      <c r="AC78" s="79">
        <v>6625.0</v>
      </c>
      <c r="AD78" s="78"/>
      <c r="AE78" s="78"/>
      <c r="AF78" s="79">
        <v>5742.0</v>
      </c>
      <c r="AG78" s="78"/>
      <c r="AH78" s="78"/>
      <c r="AI78" s="79">
        <v>5742.0</v>
      </c>
      <c r="AJ78" s="78"/>
      <c r="AK78" s="78"/>
      <c r="AL78" s="79">
        <v>7950.0</v>
      </c>
      <c r="AM78" s="79">
        <v>11484.0</v>
      </c>
      <c r="AN78" s="78"/>
      <c r="AO78" s="79">
        <v>26502.0</v>
      </c>
      <c r="AP78" s="79">
        <v>5300.0</v>
      </c>
      <c r="AQ78" s="79">
        <v>22805.0</v>
      </c>
      <c r="AR78" s="79">
        <v>53005.0</v>
      </c>
      <c r="AS78" s="79">
        <v>7509.0</v>
      </c>
      <c r="AT78" s="79">
        <v>36809.0</v>
      </c>
      <c r="AU78" s="79">
        <v>32392.0</v>
      </c>
      <c r="AV78" s="79">
        <v>22674.0</v>
      </c>
      <c r="AW78" s="79">
        <v>16196.0</v>
      </c>
      <c r="AX78" s="79">
        <v>26502.0</v>
      </c>
      <c r="AY78" s="79">
        <v>13251.0</v>
      </c>
      <c r="AZ78" s="78"/>
      <c r="BA78" s="79">
        <v>8834.0</v>
      </c>
      <c r="BB78" s="79">
        <v>5889.0</v>
      </c>
      <c r="BC78" s="78"/>
      <c r="BD78" s="79">
        <v>5889.0</v>
      </c>
      <c r="BE78" s="79">
        <v>17668.0</v>
      </c>
      <c r="BF78" s="78"/>
      <c r="BG78" s="79">
        <v>14723.0</v>
      </c>
      <c r="BH78" s="79">
        <v>26502.0</v>
      </c>
      <c r="BI78" s="79">
        <v>32392.0</v>
      </c>
    </row>
    <row r="79" ht="12.75" customHeight="1">
      <c r="A79" s="34">
        <v>57.0</v>
      </c>
      <c r="B79" s="79">
        <v>5395.0</v>
      </c>
      <c r="C79" s="78"/>
      <c r="D79" s="78"/>
      <c r="E79" s="79">
        <v>4495.0</v>
      </c>
      <c r="F79" s="78"/>
      <c r="G79" s="78"/>
      <c r="H79" s="79">
        <v>8092.0</v>
      </c>
      <c r="I79" s="78"/>
      <c r="J79" s="78"/>
      <c r="K79" s="79">
        <v>22479.0</v>
      </c>
      <c r="L79" s="79">
        <v>29972.0</v>
      </c>
      <c r="M79" s="79">
        <v>17983.0</v>
      </c>
      <c r="N79" s="79">
        <v>35967.0</v>
      </c>
      <c r="O79" s="79">
        <v>53950.0</v>
      </c>
      <c r="P79" s="79">
        <v>89918.0</v>
      </c>
      <c r="Q79" s="79">
        <v>89918.0</v>
      </c>
      <c r="R79" s="79">
        <v>7493.0</v>
      </c>
      <c r="S79" s="78"/>
      <c r="T79" s="79">
        <v>37465.0</v>
      </c>
      <c r="U79" s="79">
        <v>7493.0</v>
      </c>
      <c r="V79" s="78"/>
      <c r="W79" s="79">
        <v>23978.0</v>
      </c>
      <c r="X79" s="78"/>
      <c r="Y79" s="78"/>
      <c r="Z79" s="79">
        <v>29972.0</v>
      </c>
      <c r="AA79" s="79">
        <v>17983.0</v>
      </c>
      <c r="AB79" s="78"/>
      <c r="AC79" s="79">
        <v>6743.0</v>
      </c>
      <c r="AD79" s="78"/>
      <c r="AE79" s="78"/>
      <c r="AF79" s="79">
        <v>5844.0</v>
      </c>
      <c r="AG79" s="78"/>
      <c r="AH79" s="78"/>
      <c r="AI79" s="79">
        <v>5844.0</v>
      </c>
      <c r="AJ79" s="78"/>
      <c r="AK79" s="78"/>
      <c r="AL79" s="79">
        <v>8092.0</v>
      </c>
      <c r="AM79" s="79">
        <v>11689.0</v>
      </c>
      <c r="AN79" s="78"/>
      <c r="AO79" s="79">
        <v>26975.0</v>
      </c>
      <c r="AP79" s="79">
        <v>5395.0</v>
      </c>
      <c r="AQ79" s="79">
        <v>22479.0</v>
      </c>
      <c r="AR79" s="79">
        <v>53950.0</v>
      </c>
      <c r="AS79" s="79">
        <v>7643.0</v>
      </c>
      <c r="AT79" s="79">
        <v>37465.0</v>
      </c>
      <c r="AU79" s="79">
        <v>32970.0</v>
      </c>
      <c r="AV79" s="79">
        <v>23079.0</v>
      </c>
      <c r="AW79" s="79">
        <v>16485.0</v>
      </c>
      <c r="AX79" s="79">
        <v>26975.0</v>
      </c>
      <c r="AY79" s="79">
        <v>13487.0</v>
      </c>
      <c r="AZ79" s="78"/>
      <c r="BA79" s="79">
        <v>8991.0</v>
      </c>
      <c r="BB79" s="79">
        <v>5994.0</v>
      </c>
      <c r="BC79" s="78"/>
      <c r="BD79" s="79">
        <v>5994.0</v>
      </c>
      <c r="BE79" s="79">
        <v>17983.0</v>
      </c>
      <c r="BF79" s="78"/>
      <c r="BG79" s="79">
        <v>14986.0</v>
      </c>
      <c r="BH79" s="79">
        <v>26975.0</v>
      </c>
      <c r="BI79" s="79">
        <v>32970.0</v>
      </c>
    </row>
    <row r="80" ht="12.75" customHeight="1">
      <c r="A80" s="34">
        <v>58.0</v>
      </c>
      <c r="B80" s="79">
        <v>5491.0</v>
      </c>
      <c r="C80" s="78"/>
      <c r="D80" s="78"/>
      <c r="E80" s="79">
        <v>4576.0</v>
      </c>
      <c r="F80" s="78"/>
      <c r="G80" s="78"/>
      <c r="H80" s="79">
        <v>8237.0</v>
      </c>
      <c r="I80" s="78"/>
      <c r="J80" s="78"/>
      <c r="K80" s="79">
        <v>22882.0</v>
      </c>
      <c r="L80" s="79">
        <v>30510.0</v>
      </c>
      <c r="M80" s="79">
        <v>18306.0</v>
      </c>
      <c r="N80" s="79">
        <v>36612.0</v>
      </c>
      <c r="O80" s="79">
        <v>54918.0</v>
      </c>
      <c r="P80" s="79">
        <v>91531.0</v>
      </c>
      <c r="Q80" s="79">
        <v>91531.0</v>
      </c>
      <c r="R80" s="79">
        <v>7627.0</v>
      </c>
      <c r="S80" s="78"/>
      <c r="T80" s="79">
        <v>38137.0</v>
      </c>
      <c r="U80" s="79">
        <v>7627.0</v>
      </c>
      <c r="V80" s="78"/>
      <c r="W80" s="79">
        <v>24408.0</v>
      </c>
      <c r="X80" s="78"/>
      <c r="Y80" s="78"/>
      <c r="Z80" s="79">
        <v>30510.0</v>
      </c>
      <c r="AA80" s="79">
        <v>18306.0</v>
      </c>
      <c r="AB80" s="78"/>
      <c r="AC80" s="79">
        <v>6864.0</v>
      </c>
      <c r="AD80" s="78"/>
      <c r="AE80" s="78"/>
      <c r="AF80" s="79">
        <v>5949.0</v>
      </c>
      <c r="AG80" s="78"/>
      <c r="AH80" s="78"/>
      <c r="AI80" s="79">
        <v>5949.0</v>
      </c>
      <c r="AJ80" s="78"/>
      <c r="AK80" s="78"/>
      <c r="AL80" s="79">
        <v>8237.0</v>
      </c>
      <c r="AM80" s="79">
        <v>11899.0</v>
      </c>
      <c r="AN80" s="78"/>
      <c r="AO80" s="79">
        <v>27459.0</v>
      </c>
      <c r="AP80" s="79">
        <v>5491.0</v>
      </c>
      <c r="AQ80" s="79">
        <v>22882.0</v>
      </c>
      <c r="AR80" s="79">
        <v>54918.0</v>
      </c>
      <c r="AS80" s="79">
        <v>7780.0</v>
      </c>
      <c r="AT80" s="79">
        <v>38137.0</v>
      </c>
      <c r="AU80" s="79">
        <v>33561.0</v>
      </c>
      <c r="AV80" s="79">
        <v>23492.0</v>
      </c>
      <c r="AW80" s="79">
        <v>16780.0</v>
      </c>
      <c r="AX80" s="79">
        <v>27459.0</v>
      </c>
      <c r="AY80" s="79">
        <v>13729.0</v>
      </c>
      <c r="AZ80" s="78"/>
      <c r="BA80" s="79">
        <v>9153.0</v>
      </c>
      <c r="BB80" s="79">
        <v>6102.0</v>
      </c>
      <c r="BC80" s="78"/>
      <c r="BD80" s="79">
        <v>6102.0</v>
      </c>
      <c r="BE80" s="79">
        <v>18306.0</v>
      </c>
      <c r="BF80" s="78"/>
      <c r="BG80" s="79">
        <v>15255.0</v>
      </c>
      <c r="BH80" s="79">
        <v>27459.0</v>
      </c>
      <c r="BI80" s="79">
        <v>33561.0</v>
      </c>
    </row>
    <row r="81" ht="12.75" customHeight="1">
      <c r="A81" s="34">
        <v>59.0</v>
      </c>
      <c r="B81" s="79">
        <v>5590.0</v>
      </c>
      <c r="C81" s="78"/>
      <c r="D81" s="78"/>
      <c r="E81" s="79">
        <v>4659.0</v>
      </c>
      <c r="F81" s="78"/>
      <c r="G81" s="78"/>
      <c r="H81" s="79">
        <v>8386.0</v>
      </c>
      <c r="I81" s="78"/>
      <c r="J81" s="78"/>
      <c r="K81" s="79">
        <v>23295.0</v>
      </c>
      <c r="L81" s="79">
        <v>31060.0</v>
      </c>
      <c r="M81" s="79">
        <v>18636.0</v>
      </c>
      <c r="N81" s="79">
        <v>37272.0</v>
      </c>
      <c r="O81" s="79">
        <v>55909.0</v>
      </c>
      <c r="P81" s="79">
        <v>93181.0</v>
      </c>
      <c r="Q81" s="79">
        <v>83181.0</v>
      </c>
      <c r="R81" s="79">
        <v>7765.0</v>
      </c>
      <c r="S81" s="78"/>
      <c r="T81" s="79">
        <v>38825.0</v>
      </c>
      <c r="U81" s="79">
        <v>7765.0</v>
      </c>
      <c r="V81" s="78"/>
      <c r="W81" s="79">
        <v>24848.0</v>
      </c>
      <c r="X81" s="78"/>
      <c r="Y81" s="78"/>
      <c r="Z81" s="79">
        <v>31060.0</v>
      </c>
      <c r="AA81" s="79">
        <v>18636.0</v>
      </c>
      <c r="AB81" s="78"/>
      <c r="AC81" s="79">
        <v>6988.0</v>
      </c>
      <c r="AD81" s="78"/>
      <c r="AE81" s="78"/>
      <c r="AF81" s="79">
        <v>6056.0</v>
      </c>
      <c r="AG81" s="78"/>
      <c r="AH81" s="78"/>
      <c r="AI81" s="79">
        <v>6056.0</v>
      </c>
      <c r="AJ81" s="78"/>
      <c r="AK81" s="78"/>
      <c r="AL81" s="79">
        <v>8386.0</v>
      </c>
      <c r="AM81" s="79">
        <v>12113.0</v>
      </c>
      <c r="AN81" s="78"/>
      <c r="AO81" s="79">
        <v>27954.0</v>
      </c>
      <c r="AP81" s="79">
        <v>5590.0</v>
      </c>
      <c r="AQ81" s="79">
        <v>23295.0</v>
      </c>
      <c r="AR81" s="79">
        <v>55909.0</v>
      </c>
      <c r="AS81" s="79">
        <v>7920.0</v>
      </c>
      <c r="AT81" s="79">
        <v>38825.0</v>
      </c>
      <c r="AU81" s="79">
        <v>34166.0</v>
      </c>
      <c r="AV81" s="79">
        <v>23916.0</v>
      </c>
      <c r="AW81" s="79">
        <v>17083.0</v>
      </c>
      <c r="AX81" s="79">
        <v>27954.0</v>
      </c>
      <c r="AY81" s="79">
        <v>13977.0</v>
      </c>
      <c r="AZ81" s="78"/>
      <c r="BA81" s="79">
        <v>9318.0</v>
      </c>
      <c r="BB81" s="79">
        <v>6212.0</v>
      </c>
      <c r="BC81" s="78"/>
      <c r="BD81" s="79">
        <v>6212.0</v>
      </c>
      <c r="BE81" s="79">
        <v>18636.0</v>
      </c>
      <c r="BF81" s="78"/>
      <c r="BG81" s="79">
        <v>15530.0</v>
      </c>
      <c r="BH81" s="79">
        <v>27954.0</v>
      </c>
      <c r="BI81" s="79">
        <v>34166.0</v>
      </c>
    </row>
    <row r="82" ht="12.75" customHeight="1">
      <c r="A82" s="34">
        <v>60.0</v>
      </c>
      <c r="B82" s="79">
        <v>5692.0</v>
      </c>
      <c r="C82" s="78"/>
      <c r="D82" s="78"/>
      <c r="E82" s="79">
        <v>4744.0</v>
      </c>
      <c r="F82" s="78"/>
      <c r="G82" s="78"/>
      <c r="H82" s="79">
        <v>8539.0</v>
      </c>
      <c r="I82" s="78"/>
      <c r="J82" s="78"/>
      <c r="K82" s="79">
        <v>23720.0</v>
      </c>
      <c r="L82" s="79">
        <v>31627.0</v>
      </c>
      <c r="M82" s="79">
        <v>18976.0</v>
      </c>
      <c r="N82" s="79">
        <v>37953.0</v>
      </c>
      <c r="O82" s="79">
        <v>56929.0</v>
      </c>
      <c r="P82" s="79">
        <v>94882.0</v>
      </c>
      <c r="Q82" s="79">
        <v>94882.0</v>
      </c>
      <c r="R82" s="79">
        <v>7906.0</v>
      </c>
      <c r="S82" s="78"/>
      <c r="T82" s="79">
        <v>39534.0</v>
      </c>
      <c r="U82" s="79">
        <v>7906.0</v>
      </c>
      <c r="V82" s="78"/>
      <c r="W82" s="79">
        <v>25302.0</v>
      </c>
      <c r="X82" s="78"/>
      <c r="Y82" s="78"/>
      <c r="Z82" s="79">
        <v>31627.0</v>
      </c>
      <c r="AA82" s="79">
        <v>18976.0</v>
      </c>
      <c r="AB82" s="78"/>
      <c r="AC82" s="79">
        <v>7116.0</v>
      </c>
      <c r="AD82" s="78"/>
      <c r="AE82" s="78"/>
      <c r="AF82" s="79">
        <v>6167.0</v>
      </c>
      <c r="AG82" s="78"/>
      <c r="AH82" s="78"/>
      <c r="AI82" s="79">
        <v>6167.0</v>
      </c>
      <c r="AJ82" s="78"/>
      <c r="AK82" s="78"/>
      <c r="AL82" s="79">
        <v>8539.0</v>
      </c>
      <c r="AM82" s="79">
        <v>12334.0</v>
      </c>
      <c r="AN82" s="78"/>
      <c r="AO82" s="79">
        <v>28464.0</v>
      </c>
      <c r="AP82" s="79">
        <v>5692.0</v>
      </c>
      <c r="AQ82" s="79">
        <v>23720.0</v>
      </c>
      <c r="AR82" s="79">
        <v>56929.0</v>
      </c>
      <c r="AS82" s="79">
        <v>8065.0</v>
      </c>
      <c r="AT82" s="79">
        <v>39534.0</v>
      </c>
      <c r="AU82" s="79">
        <v>34790.0</v>
      </c>
      <c r="AV82" s="79">
        <v>24353.0</v>
      </c>
      <c r="AW82" s="79">
        <v>17395.0</v>
      </c>
      <c r="AX82" s="79">
        <v>28464.0</v>
      </c>
      <c r="AY82" s="79">
        <v>14232.0</v>
      </c>
      <c r="AZ82" s="78"/>
      <c r="BA82" s="79">
        <v>9488.0</v>
      </c>
      <c r="BB82" s="79">
        <v>6325.0</v>
      </c>
      <c r="BC82" s="78"/>
      <c r="BD82" s="79">
        <v>6325.0</v>
      </c>
      <c r="BE82" s="79">
        <v>18976.0</v>
      </c>
      <c r="BF82" s="78"/>
      <c r="BG82" s="79">
        <v>15813.0</v>
      </c>
      <c r="BH82" s="79">
        <v>28464.0</v>
      </c>
      <c r="BI82" s="79">
        <v>34790.0</v>
      </c>
    </row>
    <row r="83" ht="12.75" customHeight="1">
      <c r="A83" s="34">
        <v>61.0</v>
      </c>
      <c r="B83" s="79">
        <v>5797.0</v>
      </c>
      <c r="C83" s="78"/>
      <c r="D83" s="78"/>
      <c r="E83" s="79">
        <v>4831.0</v>
      </c>
      <c r="F83" s="78"/>
      <c r="G83" s="78"/>
      <c r="H83" s="79">
        <v>8695.0</v>
      </c>
      <c r="I83" s="78"/>
      <c r="J83" s="78"/>
      <c r="K83" s="79">
        <v>24155.0</v>
      </c>
      <c r="L83" s="79">
        <v>32207.0</v>
      </c>
      <c r="M83" s="79">
        <v>19324.0</v>
      </c>
      <c r="N83" s="79">
        <v>38648.0</v>
      </c>
      <c r="O83" s="79">
        <v>57972.0</v>
      </c>
      <c r="P83" s="79">
        <v>96621.0</v>
      </c>
      <c r="Q83" s="79">
        <v>96621.0</v>
      </c>
      <c r="R83" s="79">
        <v>8051.0</v>
      </c>
      <c r="S83" s="78"/>
      <c r="T83" s="79">
        <v>40258.0</v>
      </c>
      <c r="U83" s="79">
        <v>8051.0</v>
      </c>
      <c r="V83" s="78"/>
      <c r="W83" s="79">
        <v>25765.0</v>
      </c>
      <c r="X83" s="78"/>
      <c r="Y83" s="78"/>
      <c r="Z83" s="79">
        <v>32207.0</v>
      </c>
      <c r="AA83" s="79">
        <v>19324.0</v>
      </c>
      <c r="AB83" s="78"/>
      <c r="AC83" s="79">
        <v>7246.0</v>
      </c>
      <c r="AD83" s="78"/>
      <c r="AE83" s="78"/>
      <c r="AF83" s="79">
        <v>6280.0</v>
      </c>
      <c r="AG83" s="78"/>
      <c r="AH83" s="78"/>
      <c r="AI83" s="79">
        <v>6280.0</v>
      </c>
      <c r="AJ83" s="78"/>
      <c r="AK83" s="78"/>
      <c r="AL83" s="79">
        <v>8695.0</v>
      </c>
      <c r="AM83" s="79">
        <v>12560.0</v>
      </c>
      <c r="AN83" s="78"/>
      <c r="AO83" s="79">
        <v>28986.0</v>
      </c>
      <c r="AP83" s="79">
        <v>5797.0</v>
      </c>
      <c r="AQ83" s="79">
        <v>24155.0</v>
      </c>
      <c r="AR83" s="79">
        <v>57972.0</v>
      </c>
      <c r="AS83" s="79">
        <v>8212.0</v>
      </c>
      <c r="AT83" s="79">
        <v>40258.0</v>
      </c>
      <c r="AU83" s="79">
        <v>35427.0</v>
      </c>
      <c r="AV83" s="79">
        <v>24799.0</v>
      </c>
      <c r="AW83" s="79">
        <v>17713.0</v>
      </c>
      <c r="AX83" s="79">
        <v>28986.0</v>
      </c>
      <c r="AY83" s="79">
        <v>14493.0</v>
      </c>
      <c r="AZ83" s="78"/>
      <c r="BA83" s="79">
        <v>9662.0</v>
      </c>
      <c r="BB83" s="79">
        <v>6441.0</v>
      </c>
      <c r="BC83" s="78"/>
      <c r="BD83" s="79">
        <v>6441.0</v>
      </c>
      <c r="BE83" s="79">
        <v>19324.0</v>
      </c>
      <c r="BF83" s="78"/>
      <c r="BG83" s="79">
        <v>16103.0</v>
      </c>
      <c r="BH83" s="79">
        <v>28986.0</v>
      </c>
      <c r="BI83" s="79">
        <v>35427.0</v>
      </c>
    </row>
    <row r="84" ht="12.75" customHeight="1">
      <c r="A84" s="34">
        <v>62.0</v>
      </c>
      <c r="B84" s="79">
        <v>5903.0</v>
      </c>
      <c r="C84" s="78"/>
      <c r="D84" s="78"/>
      <c r="E84" s="79">
        <v>4919.0</v>
      </c>
      <c r="F84" s="78"/>
      <c r="G84" s="78"/>
      <c r="H84" s="79">
        <v>8855.0</v>
      </c>
      <c r="I84" s="78"/>
      <c r="J84" s="78"/>
      <c r="K84" s="79">
        <v>24599.0</v>
      </c>
      <c r="L84" s="79">
        <v>32799.0</v>
      </c>
      <c r="M84" s="79">
        <v>19679.0</v>
      </c>
      <c r="N84" s="79">
        <v>39359.0</v>
      </c>
      <c r="O84" s="79">
        <v>59038.0</v>
      </c>
      <c r="P84" s="79">
        <v>98398.0</v>
      </c>
      <c r="Q84" s="79">
        <v>98398.0</v>
      </c>
      <c r="R84" s="79">
        <v>8199.0</v>
      </c>
      <c r="S84" s="78"/>
      <c r="T84" s="79">
        <v>40999.0</v>
      </c>
      <c r="U84" s="79">
        <v>8199.0</v>
      </c>
      <c r="V84" s="78"/>
      <c r="W84" s="79">
        <v>26239.0</v>
      </c>
      <c r="X84" s="78"/>
      <c r="Y84" s="78"/>
      <c r="Z84" s="79">
        <v>32799.0</v>
      </c>
      <c r="AA84" s="79">
        <v>19679.0</v>
      </c>
      <c r="AB84" s="78"/>
      <c r="AC84" s="79">
        <v>7379.0</v>
      </c>
      <c r="AD84" s="78"/>
      <c r="AE84" s="78"/>
      <c r="AF84" s="79">
        <v>6395.0</v>
      </c>
      <c r="AG84" s="78"/>
      <c r="AH84" s="78"/>
      <c r="AI84" s="79">
        <v>6395.0</v>
      </c>
      <c r="AJ84" s="78"/>
      <c r="AK84" s="78"/>
      <c r="AL84" s="79">
        <v>8855.0</v>
      </c>
      <c r="AM84" s="79">
        <v>12791.0</v>
      </c>
      <c r="AN84" s="78"/>
      <c r="AO84" s="79">
        <v>29519.0</v>
      </c>
      <c r="AP84" s="79">
        <v>5903.0</v>
      </c>
      <c r="AQ84" s="79">
        <v>24599.0</v>
      </c>
      <c r="AR84" s="79">
        <v>59038.0</v>
      </c>
      <c r="AS84" s="79">
        <v>8363.0</v>
      </c>
      <c r="AT84" s="79">
        <v>40999.0</v>
      </c>
      <c r="AU84" s="79">
        <v>36079.0</v>
      </c>
      <c r="AV84" s="79">
        <v>25255.0</v>
      </c>
      <c r="AW84" s="79">
        <v>18039.0</v>
      </c>
      <c r="AX84" s="79">
        <v>29519.0</v>
      </c>
      <c r="AY84" s="79">
        <v>14759.0</v>
      </c>
      <c r="AZ84" s="78"/>
      <c r="BA84" s="79">
        <v>9839.0</v>
      </c>
      <c r="BB84" s="79">
        <v>6559.0</v>
      </c>
      <c r="BC84" s="78"/>
      <c r="BD84" s="79">
        <v>6559.0</v>
      </c>
      <c r="BE84" s="79">
        <v>19679.0</v>
      </c>
      <c r="BF84" s="78"/>
      <c r="BG84" s="79">
        <v>16399.0</v>
      </c>
      <c r="BH84" s="79">
        <v>29519.0</v>
      </c>
      <c r="BI84" s="79">
        <v>36079.0</v>
      </c>
    </row>
    <row r="85" ht="12.75" customHeight="1">
      <c r="A85" s="34">
        <v>63.0</v>
      </c>
      <c r="B85" s="79">
        <v>6013.0</v>
      </c>
      <c r="C85" s="78"/>
      <c r="D85" s="78"/>
      <c r="E85" s="79">
        <v>5011.0</v>
      </c>
      <c r="F85" s="78"/>
      <c r="G85" s="78"/>
      <c r="H85" s="79">
        <v>9020.0</v>
      </c>
      <c r="I85" s="78"/>
      <c r="J85" s="78"/>
      <c r="K85" s="79">
        <v>25056.0</v>
      </c>
      <c r="L85" s="79">
        <v>33408.0</v>
      </c>
      <c r="M85" s="79">
        <v>20045.0</v>
      </c>
      <c r="N85" s="79">
        <v>40090.0</v>
      </c>
      <c r="O85" s="79">
        <v>60135.0</v>
      </c>
      <c r="P85" s="79">
        <v>100225.0</v>
      </c>
      <c r="Q85" s="79">
        <v>100225.0</v>
      </c>
      <c r="R85" s="79">
        <v>8352.0</v>
      </c>
      <c r="S85" s="78"/>
      <c r="T85" s="79">
        <v>41760.0</v>
      </c>
      <c r="U85" s="79">
        <v>8352.0</v>
      </c>
      <c r="V85" s="78"/>
      <c r="W85" s="79">
        <v>26726.0</v>
      </c>
      <c r="X85" s="78"/>
      <c r="Y85" s="78"/>
      <c r="Z85" s="79">
        <v>33408.0</v>
      </c>
      <c r="AA85" s="79">
        <v>20045.0</v>
      </c>
      <c r="AB85" s="78"/>
      <c r="AC85" s="79">
        <v>7516.0</v>
      </c>
      <c r="AD85" s="78"/>
      <c r="AE85" s="78"/>
      <c r="AF85" s="79">
        <v>6514.0</v>
      </c>
      <c r="AG85" s="78"/>
      <c r="AH85" s="78"/>
      <c r="AI85" s="79">
        <v>6514.0</v>
      </c>
      <c r="AJ85" s="78"/>
      <c r="AK85" s="78"/>
      <c r="AL85" s="79">
        <v>9020.0</v>
      </c>
      <c r="AM85" s="79">
        <v>13029.0</v>
      </c>
      <c r="AN85" s="78"/>
      <c r="AO85" s="79">
        <v>30067.0</v>
      </c>
      <c r="AP85" s="79">
        <v>6013.0</v>
      </c>
      <c r="AQ85" s="79">
        <v>25056.0</v>
      </c>
      <c r="AR85" s="79">
        <v>60135.0</v>
      </c>
      <c r="AS85" s="79">
        <v>8519.0</v>
      </c>
      <c r="AT85" s="79">
        <v>41760.0</v>
      </c>
      <c r="AU85" s="79">
        <v>36749.0</v>
      </c>
      <c r="AV85" s="79">
        <v>25724.0</v>
      </c>
      <c r="AW85" s="79">
        <v>18374.0</v>
      </c>
      <c r="AX85" s="79">
        <v>30067.0</v>
      </c>
      <c r="AY85" s="79">
        <v>15033.0</v>
      </c>
      <c r="AZ85" s="78"/>
      <c r="BA85" s="79">
        <v>10022.0</v>
      </c>
      <c r="BB85" s="79">
        <v>6681.0</v>
      </c>
      <c r="BC85" s="78"/>
      <c r="BD85" s="79">
        <v>6681.0</v>
      </c>
      <c r="BE85" s="79">
        <v>20045.0</v>
      </c>
      <c r="BF85" s="78"/>
      <c r="BG85" s="79">
        <v>16704.0</v>
      </c>
      <c r="BH85" s="79">
        <v>30067.0</v>
      </c>
      <c r="BI85" s="79">
        <v>36749.0</v>
      </c>
    </row>
    <row r="86" ht="12.75" customHeight="1">
      <c r="A86" s="34">
        <v>64.0</v>
      </c>
      <c r="B86" s="79">
        <v>6126.0</v>
      </c>
      <c r="C86" s="78"/>
      <c r="D86" s="78"/>
      <c r="E86" s="79">
        <v>5105.0</v>
      </c>
      <c r="F86" s="78"/>
      <c r="G86" s="78"/>
      <c r="H86" s="79">
        <v>9189.0</v>
      </c>
      <c r="I86" s="78"/>
      <c r="J86" s="78"/>
      <c r="K86" s="79">
        <v>25525.0</v>
      </c>
      <c r="L86" s="79">
        <v>34034.0</v>
      </c>
      <c r="M86" s="79">
        <v>20420.0</v>
      </c>
      <c r="N86" s="79">
        <v>40840.0</v>
      </c>
      <c r="O86" s="79">
        <v>61261.0</v>
      </c>
      <c r="P86" s="79">
        <v>102102.0</v>
      </c>
      <c r="Q86" s="79">
        <v>102102.0</v>
      </c>
      <c r="R86" s="79">
        <v>8508.0</v>
      </c>
      <c r="S86" s="78"/>
      <c r="T86" s="79">
        <v>42542.0</v>
      </c>
      <c r="U86" s="79">
        <v>8508.0</v>
      </c>
      <c r="V86" s="78"/>
      <c r="W86" s="79">
        <v>27227.0</v>
      </c>
      <c r="X86" s="78"/>
      <c r="Y86" s="78"/>
      <c r="Z86" s="79">
        <v>34034.0</v>
      </c>
      <c r="AA86" s="79">
        <v>20420.0</v>
      </c>
      <c r="AB86" s="78"/>
      <c r="AC86" s="79">
        <v>7657.0</v>
      </c>
      <c r="AD86" s="78"/>
      <c r="AE86" s="78"/>
      <c r="AF86" s="79">
        <v>6636.0</v>
      </c>
      <c r="AG86" s="78"/>
      <c r="AH86" s="78"/>
      <c r="AI86" s="79">
        <v>6636.0</v>
      </c>
      <c r="AJ86" s="78"/>
      <c r="AK86" s="78"/>
      <c r="AL86" s="79">
        <v>9189.0</v>
      </c>
      <c r="AM86" s="79">
        <v>13273.0</v>
      </c>
      <c r="AN86" s="78"/>
      <c r="AO86" s="79">
        <v>30630.0</v>
      </c>
      <c r="AP86" s="79">
        <v>6126.0</v>
      </c>
      <c r="AQ86" s="79">
        <v>25525.0</v>
      </c>
      <c r="AR86" s="79">
        <v>61261.0</v>
      </c>
      <c r="AS86" s="79">
        <v>8678.0</v>
      </c>
      <c r="AT86" s="79">
        <v>42542.0</v>
      </c>
      <c r="AU86" s="79">
        <v>37437.0</v>
      </c>
      <c r="AV86" s="79">
        <v>26206.0</v>
      </c>
      <c r="AW86" s="79">
        <v>18718.0</v>
      </c>
      <c r="AX86" s="79">
        <v>30630.0</v>
      </c>
      <c r="AY86" s="79">
        <v>15315.0</v>
      </c>
      <c r="AZ86" s="78"/>
      <c r="BA86" s="79">
        <v>10210.0</v>
      </c>
      <c r="BB86" s="79">
        <v>6806.0</v>
      </c>
      <c r="BC86" s="78"/>
      <c r="BD86" s="79">
        <v>6806.0</v>
      </c>
      <c r="BE86" s="79">
        <v>20420.0</v>
      </c>
      <c r="BF86" s="78"/>
      <c r="BG86" s="79">
        <v>17017.0</v>
      </c>
      <c r="BH86" s="79">
        <v>30630.0</v>
      </c>
      <c r="BI86" s="79">
        <v>37437.0</v>
      </c>
    </row>
    <row r="87" ht="12.75" customHeight="1">
      <c r="A87" s="34">
        <v>65.0</v>
      </c>
      <c r="B87" s="79">
        <v>6241.0</v>
      </c>
      <c r="C87" s="78"/>
      <c r="D87" s="78"/>
      <c r="E87" s="79">
        <v>5200.0</v>
      </c>
      <c r="F87" s="78"/>
      <c r="G87" s="78"/>
      <c r="H87" s="79">
        <v>9361.0</v>
      </c>
      <c r="I87" s="78"/>
      <c r="J87" s="78"/>
      <c r="K87" s="79">
        <v>26004.0</v>
      </c>
      <c r="L87" s="79">
        <v>34672.0</v>
      </c>
      <c r="M87" s="79">
        <v>20803.0</v>
      </c>
      <c r="N87" s="79">
        <v>41607.0</v>
      </c>
      <c r="O87" s="79">
        <v>62410.0</v>
      </c>
      <c r="P87" s="79">
        <v>104017.0</v>
      </c>
      <c r="Q87" s="79">
        <v>104017.0</v>
      </c>
      <c r="R87" s="79">
        <v>8668.0</v>
      </c>
      <c r="S87" s="78"/>
      <c r="T87" s="79">
        <v>43340.0</v>
      </c>
      <c r="U87" s="79">
        <v>8668.0</v>
      </c>
      <c r="V87" s="78"/>
      <c r="W87" s="79">
        <v>27738.0</v>
      </c>
      <c r="X87" s="78"/>
      <c r="Y87" s="78"/>
      <c r="Z87" s="79">
        <v>34672.0</v>
      </c>
      <c r="AA87" s="79">
        <v>20803.0</v>
      </c>
      <c r="AB87" s="78"/>
      <c r="AC87" s="79">
        <v>7801.0</v>
      </c>
      <c r="AD87" s="78"/>
      <c r="AE87" s="78"/>
      <c r="AF87" s="79">
        <v>6761.0</v>
      </c>
      <c r="AG87" s="78"/>
      <c r="AH87" s="78"/>
      <c r="AI87" s="79">
        <v>6761.0</v>
      </c>
      <c r="AJ87" s="78"/>
      <c r="AK87" s="78"/>
      <c r="AL87" s="79">
        <v>9361.0</v>
      </c>
      <c r="AM87" s="79">
        <v>13522.0</v>
      </c>
      <c r="AN87" s="78"/>
      <c r="AO87" s="79">
        <v>31205.0</v>
      </c>
      <c r="AP87" s="79">
        <v>6241.0</v>
      </c>
      <c r="AQ87" s="79">
        <v>26004.0</v>
      </c>
      <c r="AR87" s="79">
        <v>62410.0</v>
      </c>
      <c r="AS87" s="79">
        <v>8841.0</v>
      </c>
      <c r="AT87" s="79">
        <v>43340.0</v>
      </c>
      <c r="AU87" s="79">
        <v>38139.0</v>
      </c>
      <c r="AV87" s="79">
        <v>26697.0</v>
      </c>
      <c r="AW87" s="79">
        <v>19069.0</v>
      </c>
      <c r="AX87" s="79">
        <v>31205.0</v>
      </c>
      <c r="AY87" s="79">
        <v>15602.0</v>
      </c>
      <c r="AZ87" s="78"/>
      <c r="BA87" s="79">
        <v>10401.0</v>
      </c>
      <c r="BB87" s="79">
        <v>6934.0</v>
      </c>
      <c r="BC87" s="78"/>
      <c r="BD87" s="79">
        <v>6934.0</v>
      </c>
      <c r="BE87" s="79">
        <v>20803.0</v>
      </c>
      <c r="BF87" s="78"/>
      <c r="BG87" s="79">
        <v>17336.0</v>
      </c>
      <c r="BH87" s="79">
        <v>31205.0</v>
      </c>
      <c r="BI87" s="79">
        <v>38139.0</v>
      </c>
    </row>
    <row r="88" ht="12.75" customHeight="1">
      <c r="A88" s="34">
        <v>66.0</v>
      </c>
      <c r="B88" s="79">
        <v>6358.0</v>
      </c>
      <c r="C88" s="78"/>
      <c r="D88" s="78"/>
      <c r="E88" s="79">
        <v>5299.0</v>
      </c>
      <c r="F88" s="78"/>
      <c r="G88" s="78"/>
      <c r="H88" s="79">
        <v>9538.0</v>
      </c>
      <c r="I88" s="78"/>
      <c r="J88" s="78"/>
      <c r="K88" s="79">
        <v>26495.0</v>
      </c>
      <c r="L88" s="79">
        <v>35327.0</v>
      </c>
      <c r="M88" s="79">
        <v>21196.0</v>
      </c>
      <c r="N88" s="79">
        <v>42393.0</v>
      </c>
      <c r="O88" s="79">
        <v>63589.0</v>
      </c>
      <c r="P88" s="79">
        <v>105983.0</v>
      </c>
      <c r="Q88" s="79">
        <v>105983.0</v>
      </c>
      <c r="R88" s="79">
        <v>8831.0</v>
      </c>
      <c r="S88" s="78"/>
      <c r="T88" s="79">
        <v>44159.0</v>
      </c>
      <c r="U88" s="79">
        <v>8831.0</v>
      </c>
      <c r="V88" s="78"/>
      <c r="W88" s="79">
        <v>28262.0</v>
      </c>
      <c r="X88" s="78"/>
      <c r="Y88" s="78"/>
      <c r="Z88" s="79">
        <v>35327.0</v>
      </c>
      <c r="AA88" s="79">
        <v>21196.0</v>
      </c>
      <c r="AB88" s="78"/>
      <c r="AC88" s="79">
        <v>7948.0</v>
      </c>
      <c r="AD88" s="78"/>
      <c r="AE88" s="78"/>
      <c r="AF88" s="79">
        <v>6888.0</v>
      </c>
      <c r="AG88" s="78"/>
      <c r="AH88" s="78"/>
      <c r="AI88" s="79">
        <v>6888.0</v>
      </c>
      <c r="AJ88" s="78"/>
      <c r="AK88" s="78"/>
      <c r="AL88" s="79">
        <v>9538.0</v>
      </c>
      <c r="AM88" s="79">
        <v>13777.0</v>
      </c>
      <c r="AN88" s="78"/>
      <c r="AO88" s="79">
        <v>31794.0</v>
      </c>
      <c r="AP88" s="79">
        <v>6358.0</v>
      </c>
      <c r="AQ88" s="79">
        <v>26495.0</v>
      </c>
      <c r="AR88" s="79">
        <v>63589.0</v>
      </c>
      <c r="AS88" s="79">
        <v>9008.0</v>
      </c>
      <c r="AT88" s="79">
        <v>44159.0</v>
      </c>
      <c r="AU88" s="79">
        <v>38860.0</v>
      </c>
      <c r="AV88" s="79">
        <v>27202.0</v>
      </c>
      <c r="AW88" s="79">
        <v>19430.0</v>
      </c>
      <c r="AX88" s="79">
        <v>31794.0</v>
      </c>
      <c r="AY88" s="79">
        <v>15897.0</v>
      </c>
      <c r="AZ88" s="78"/>
      <c r="BA88" s="79">
        <v>10598.0</v>
      </c>
      <c r="BB88" s="79">
        <v>7065.0</v>
      </c>
      <c r="BC88" s="78"/>
      <c r="BD88" s="79">
        <v>7065.0</v>
      </c>
      <c r="BE88" s="79">
        <v>21196.0</v>
      </c>
      <c r="BF88" s="78"/>
      <c r="BG88" s="79">
        <v>17663.0</v>
      </c>
      <c r="BH88" s="79">
        <v>31794.0</v>
      </c>
      <c r="BI88" s="79">
        <v>38860.0</v>
      </c>
    </row>
    <row r="89" ht="12.75" customHeight="1">
      <c r="A89" s="34">
        <v>67.0</v>
      </c>
      <c r="B89" s="79">
        <v>6479.0</v>
      </c>
      <c r="C89" s="78"/>
      <c r="D89" s="78"/>
      <c r="E89" s="79">
        <v>5399.0</v>
      </c>
      <c r="F89" s="79"/>
      <c r="G89" s="78"/>
      <c r="H89" s="79">
        <v>9719.0</v>
      </c>
      <c r="I89" s="78"/>
      <c r="J89" s="78"/>
      <c r="K89" s="79">
        <v>26999.0</v>
      </c>
      <c r="L89" s="79">
        <v>35999.0</v>
      </c>
      <c r="M89" s="79">
        <v>21599.0</v>
      </c>
      <c r="N89" s="79">
        <v>43199.0</v>
      </c>
      <c r="O89" s="79">
        <v>64799.0</v>
      </c>
      <c r="P89" s="79">
        <v>107999.0</v>
      </c>
      <c r="Q89" s="79">
        <v>107999.0</v>
      </c>
      <c r="R89" s="79">
        <v>8999.0</v>
      </c>
      <c r="S89" s="79"/>
      <c r="T89" s="79">
        <v>44999.0</v>
      </c>
      <c r="U89" s="79">
        <v>8999.0</v>
      </c>
      <c r="V89" s="78"/>
      <c r="W89" s="79">
        <v>28799.0</v>
      </c>
      <c r="X89" s="78"/>
      <c r="Y89" s="78"/>
      <c r="Z89" s="79">
        <v>35999.0</v>
      </c>
      <c r="AA89" s="79">
        <v>21599.0</v>
      </c>
      <c r="AB89" s="78"/>
      <c r="AC89" s="79">
        <v>8099.0</v>
      </c>
      <c r="AD89" s="78"/>
      <c r="AE89" s="78"/>
      <c r="AF89" s="79">
        <v>7019.0</v>
      </c>
      <c r="AG89" s="78"/>
      <c r="AH89" s="78"/>
      <c r="AI89" s="79">
        <v>7019.0</v>
      </c>
      <c r="AJ89" s="78"/>
      <c r="AK89" s="78"/>
      <c r="AL89" s="79">
        <v>9719.0</v>
      </c>
      <c r="AM89" s="79">
        <v>14039.0</v>
      </c>
      <c r="AN89" s="78"/>
      <c r="AO89" s="79">
        <v>32399.0</v>
      </c>
      <c r="AP89" s="79">
        <v>6479.0</v>
      </c>
      <c r="AQ89" s="79">
        <v>26999.0</v>
      </c>
      <c r="AR89" s="79">
        <v>64799.0</v>
      </c>
      <c r="AS89" s="79">
        <v>9179.0</v>
      </c>
      <c r="AT89" s="79">
        <v>44999.0</v>
      </c>
      <c r="AU89" s="79">
        <v>39599.0</v>
      </c>
      <c r="AV89" s="79">
        <v>27719.0</v>
      </c>
      <c r="AW89" s="79">
        <v>19799.0</v>
      </c>
      <c r="AX89" s="79">
        <v>32399.0</v>
      </c>
      <c r="AY89" s="79">
        <v>16199.0</v>
      </c>
      <c r="AZ89" s="78"/>
      <c r="BA89" s="79">
        <v>10799.0</v>
      </c>
      <c r="BB89" s="79">
        <v>7199.0</v>
      </c>
      <c r="BC89" s="78"/>
      <c r="BD89" s="79">
        <v>7199.0</v>
      </c>
      <c r="BE89" s="79">
        <v>21599.0</v>
      </c>
      <c r="BF89" s="78"/>
      <c r="BG89" s="79">
        <v>17999.0</v>
      </c>
      <c r="BH89" s="79">
        <v>32399.0</v>
      </c>
      <c r="BI89" s="79">
        <v>39599.0</v>
      </c>
    </row>
    <row r="90" ht="12.75" customHeight="1">
      <c r="A90" s="34">
        <v>68.0</v>
      </c>
      <c r="B90" s="79">
        <v>6603.0</v>
      </c>
      <c r="C90" s="78"/>
      <c r="D90" s="78"/>
      <c r="E90" s="79">
        <v>5503.0</v>
      </c>
      <c r="F90" s="78"/>
      <c r="G90" s="78"/>
      <c r="H90" s="79">
        <v>9905.0</v>
      </c>
      <c r="I90" s="78"/>
      <c r="J90" s="78"/>
      <c r="K90" s="79">
        <v>27516.0</v>
      </c>
      <c r="L90" s="79">
        <v>36688.0</v>
      </c>
      <c r="M90" s="79">
        <v>22013.0</v>
      </c>
      <c r="N90" s="79">
        <v>44026.0</v>
      </c>
      <c r="O90" s="79">
        <v>66039.0</v>
      </c>
      <c r="P90" s="79">
        <v>110065.0</v>
      </c>
      <c r="Q90" s="79">
        <v>110065.0</v>
      </c>
      <c r="R90" s="79">
        <v>9172.0</v>
      </c>
      <c r="S90" s="78"/>
      <c r="T90" s="79">
        <v>45860.0</v>
      </c>
      <c r="U90" s="79">
        <v>9172.0</v>
      </c>
      <c r="V90" s="78"/>
      <c r="W90" s="79">
        <v>29350.0</v>
      </c>
      <c r="X90" s="78"/>
      <c r="Y90" s="78"/>
      <c r="Z90" s="79">
        <v>36688.0</v>
      </c>
      <c r="AA90" s="79">
        <v>22013.0</v>
      </c>
      <c r="AB90" s="78"/>
      <c r="AC90" s="79">
        <v>8254.0</v>
      </c>
      <c r="AD90" s="78"/>
      <c r="AE90" s="78"/>
      <c r="AF90" s="79">
        <v>7154.0</v>
      </c>
      <c r="AG90" s="78"/>
      <c r="AH90" s="78"/>
      <c r="AI90" s="79">
        <v>7154.0</v>
      </c>
      <c r="AJ90" s="78"/>
      <c r="AK90" s="78"/>
      <c r="AL90" s="79">
        <v>9905.0</v>
      </c>
      <c r="AM90" s="79">
        <v>14308.0</v>
      </c>
      <c r="AN90" s="78"/>
      <c r="AO90" s="79">
        <v>33019.0</v>
      </c>
      <c r="AP90" s="79">
        <v>6603.0</v>
      </c>
      <c r="AQ90" s="79">
        <v>27516.0</v>
      </c>
      <c r="AR90" s="79">
        <v>66039.0</v>
      </c>
      <c r="AS90" s="79">
        <v>9355.0</v>
      </c>
      <c r="AT90" s="79">
        <v>45860.0</v>
      </c>
      <c r="AU90" s="79">
        <v>40357.0</v>
      </c>
      <c r="AV90" s="79">
        <v>28250.0</v>
      </c>
      <c r="AW90" s="79">
        <v>20178.0</v>
      </c>
      <c r="AX90" s="79">
        <v>33019.0</v>
      </c>
      <c r="AY90" s="79">
        <v>16509.0</v>
      </c>
      <c r="AZ90" s="78"/>
      <c r="BA90" s="79">
        <v>11006.0</v>
      </c>
      <c r="BB90" s="79">
        <v>7337.0</v>
      </c>
      <c r="BC90" s="78"/>
      <c r="BD90" s="79">
        <v>7337.0</v>
      </c>
      <c r="BE90" s="79">
        <v>22013.0</v>
      </c>
      <c r="BF90" s="78"/>
      <c r="BG90" s="79">
        <v>18344.0</v>
      </c>
      <c r="BH90" s="79">
        <v>33019.0</v>
      </c>
      <c r="BI90" s="79">
        <v>40357.0</v>
      </c>
    </row>
    <row r="91" ht="12.75" customHeight="1">
      <c r="A91" s="34">
        <v>69.0</v>
      </c>
      <c r="B91" s="79">
        <v>6730.0</v>
      </c>
      <c r="C91" s="78"/>
      <c r="D91" s="78"/>
      <c r="E91" s="79">
        <v>5609.0</v>
      </c>
      <c r="F91" s="78"/>
      <c r="G91" s="78"/>
      <c r="H91" s="79">
        <v>10096.0</v>
      </c>
      <c r="I91" s="78"/>
      <c r="J91" s="78"/>
      <c r="K91" s="79">
        <v>28045.0</v>
      </c>
      <c r="L91" s="79">
        <v>37394.0</v>
      </c>
      <c r="M91" s="79">
        <v>22436.0</v>
      </c>
      <c r="N91" s="79">
        <v>44872.0</v>
      </c>
      <c r="O91" s="79">
        <v>67309.0</v>
      </c>
      <c r="P91" s="79">
        <v>112182.0</v>
      </c>
      <c r="Q91" s="79">
        <v>112182.0</v>
      </c>
      <c r="R91" s="79">
        <v>9348.0</v>
      </c>
      <c r="S91" s="78"/>
      <c r="T91" s="79">
        <v>46742.0</v>
      </c>
      <c r="U91" s="79">
        <v>9348.0</v>
      </c>
      <c r="V91" s="78"/>
      <c r="W91" s="79">
        <v>29915.0</v>
      </c>
      <c r="X91" s="78"/>
      <c r="Y91" s="78"/>
      <c r="Z91" s="79">
        <v>37394.0</v>
      </c>
      <c r="AA91" s="79">
        <v>22436.0</v>
      </c>
      <c r="AB91" s="78"/>
      <c r="AC91" s="79">
        <v>8413.0</v>
      </c>
      <c r="AD91" s="78"/>
      <c r="AE91" s="78"/>
      <c r="AF91" s="79">
        <v>7291.0</v>
      </c>
      <c r="AG91" s="78"/>
      <c r="AH91" s="78"/>
      <c r="AI91" s="79">
        <v>7291.0</v>
      </c>
      <c r="AJ91" s="78"/>
      <c r="AK91" s="78"/>
      <c r="AL91" s="79">
        <v>10096.0</v>
      </c>
      <c r="AM91" s="79">
        <v>14583.0</v>
      </c>
      <c r="AN91" s="78"/>
      <c r="AO91" s="79">
        <v>33654.0</v>
      </c>
      <c r="AP91" s="79">
        <v>6730.0</v>
      </c>
      <c r="AQ91" s="79">
        <v>28045.0</v>
      </c>
      <c r="AR91" s="79">
        <v>67309.0</v>
      </c>
      <c r="AS91" s="79">
        <v>9535.0</v>
      </c>
      <c r="AT91" s="79">
        <v>46742.0</v>
      </c>
      <c r="AU91" s="79">
        <v>41133.0</v>
      </c>
      <c r="AV91" s="79">
        <v>28793.0</v>
      </c>
      <c r="AW91" s="79">
        <v>20566.0</v>
      </c>
      <c r="AX91" s="79">
        <v>33654.0</v>
      </c>
      <c r="AY91" s="79">
        <v>16827.0</v>
      </c>
      <c r="AZ91" s="78"/>
      <c r="BA91" s="79">
        <v>11218.0</v>
      </c>
      <c r="BB91" s="79">
        <v>7478.0</v>
      </c>
      <c r="BC91" s="78"/>
      <c r="BD91" s="79">
        <v>7478.0</v>
      </c>
      <c r="BE91" s="79">
        <v>22436.0</v>
      </c>
      <c r="BF91" s="78"/>
      <c r="BG91" s="79">
        <v>18697.0</v>
      </c>
      <c r="BH91" s="79">
        <v>33654.0</v>
      </c>
      <c r="BI91" s="79">
        <v>41133.0</v>
      </c>
    </row>
    <row r="92" ht="12.75" customHeight="1">
      <c r="A92" s="34">
        <v>70.0</v>
      </c>
      <c r="B92" s="79">
        <v>6860.0</v>
      </c>
      <c r="C92" s="78"/>
      <c r="D92" s="78"/>
      <c r="E92" s="79">
        <v>5717.0</v>
      </c>
      <c r="F92" s="78"/>
      <c r="G92" s="78"/>
      <c r="H92" s="79">
        <v>10291.0</v>
      </c>
      <c r="I92" s="78"/>
      <c r="J92" s="78"/>
      <c r="K92" s="79">
        <v>28587.0</v>
      </c>
      <c r="L92" s="79">
        <v>38116.0</v>
      </c>
      <c r="M92" s="79">
        <v>22869.0</v>
      </c>
      <c r="N92" s="79">
        <v>45739.0</v>
      </c>
      <c r="O92" s="79">
        <v>68609.0</v>
      </c>
      <c r="P92" s="79">
        <v>114349.0</v>
      </c>
      <c r="Q92" s="79">
        <v>114349.0</v>
      </c>
      <c r="R92" s="79">
        <v>9529.0</v>
      </c>
      <c r="S92" s="78"/>
      <c r="T92" s="79">
        <v>47645.0</v>
      </c>
      <c r="U92" s="79">
        <v>9529.0</v>
      </c>
      <c r="V92" s="78"/>
      <c r="W92" s="79">
        <v>30493.0</v>
      </c>
      <c r="X92" s="78"/>
      <c r="Y92" s="78"/>
      <c r="Z92" s="79">
        <v>38116.0</v>
      </c>
      <c r="AA92" s="79">
        <v>22869.0</v>
      </c>
      <c r="AB92" s="78"/>
      <c r="AC92" s="79">
        <v>8576.0</v>
      </c>
      <c r="AD92" s="78"/>
      <c r="AE92" s="78"/>
      <c r="AF92" s="79">
        <v>7432.0</v>
      </c>
      <c r="AG92" s="78"/>
      <c r="AH92" s="78"/>
      <c r="AI92" s="79">
        <v>7432.0</v>
      </c>
      <c r="AJ92" s="78"/>
      <c r="AK92" s="78"/>
      <c r="AL92" s="79">
        <v>10291.0</v>
      </c>
      <c r="AM92" s="79">
        <v>14865.0</v>
      </c>
      <c r="AN92" s="78"/>
      <c r="AO92" s="79">
        <v>34304.0</v>
      </c>
      <c r="AP92" s="79">
        <v>6860.0</v>
      </c>
      <c r="AQ92" s="79">
        <v>28587.0</v>
      </c>
      <c r="AR92" s="79">
        <v>68609.0</v>
      </c>
      <c r="AS92" s="79">
        <v>9719.0</v>
      </c>
      <c r="AT92" s="79">
        <v>47645.0</v>
      </c>
      <c r="AU92" s="79">
        <v>41928.0</v>
      </c>
      <c r="AV92" s="79">
        <v>29349.0</v>
      </c>
      <c r="AW92" s="79">
        <v>20964.0</v>
      </c>
      <c r="AX92" s="79">
        <v>34304.0</v>
      </c>
      <c r="AY92" s="79">
        <v>17152.0</v>
      </c>
      <c r="AZ92" s="78"/>
      <c r="BA92" s="79">
        <v>11434.0</v>
      </c>
      <c r="BB92" s="79">
        <v>7623.0</v>
      </c>
      <c r="BC92" s="78"/>
      <c r="BD92" s="79">
        <v>7623.0</v>
      </c>
      <c r="BE92" s="79">
        <v>22869.0</v>
      </c>
      <c r="BF92" s="78"/>
      <c r="BG92" s="79">
        <v>19058.0</v>
      </c>
      <c r="BH92" s="79">
        <v>34304.0</v>
      </c>
      <c r="BI92" s="79">
        <v>41928.0</v>
      </c>
    </row>
    <row r="93" ht="12.75" customHeight="1">
      <c r="A93" s="34">
        <v>71.0</v>
      </c>
      <c r="B93" s="79">
        <v>6994.0</v>
      </c>
      <c r="C93" s="78"/>
      <c r="D93" s="78"/>
      <c r="E93" s="79">
        <v>5828.0</v>
      </c>
      <c r="F93" s="78"/>
      <c r="G93" s="78"/>
      <c r="H93" s="79">
        <v>10492.0</v>
      </c>
      <c r="I93" s="78"/>
      <c r="J93" s="78"/>
      <c r="K93" s="79">
        <v>29144.0</v>
      </c>
      <c r="L93" s="79">
        <v>38859.0</v>
      </c>
      <c r="M93" s="79">
        <v>23315.0</v>
      </c>
      <c r="N93" s="79">
        <v>46631.0</v>
      </c>
      <c r="O93" s="79">
        <v>69947.0</v>
      </c>
      <c r="P93" s="79">
        <v>116579.0</v>
      </c>
      <c r="Q93" s="79">
        <v>116579.0</v>
      </c>
      <c r="R93" s="79">
        <v>9714.0</v>
      </c>
      <c r="S93" s="78"/>
      <c r="T93" s="79">
        <v>48574.0</v>
      </c>
      <c r="U93" s="79">
        <v>9714.0</v>
      </c>
      <c r="V93" s="78"/>
      <c r="W93" s="79">
        <v>31087.0</v>
      </c>
      <c r="X93" s="78"/>
      <c r="Y93" s="78"/>
      <c r="Z93" s="79">
        <v>38859.0</v>
      </c>
      <c r="AA93" s="79">
        <v>23315.0</v>
      </c>
      <c r="AB93" s="78"/>
      <c r="AC93" s="79">
        <v>8743.0</v>
      </c>
      <c r="AD93" s="78"/>
      <c r="AE93" s="78"/>
      <c r="AF93" s="79">
        <v>7577.0</v>
      </c>
      <c r="AG93" s="78"/>
      <c r="AH93" s="78"/>
      <c r="AI93" s="79">
        <v>7577.0</v>
      </c>
      <c r="AJ93" s="78"/>
      <c r="AK93" s="78"/>
      <c r="AL93" s="79">
        <v>10492.0</v>
      </c>
      <c r="AM93" s="79">
        <v>15155.0</v>
      </c>
      <c r="AN93" s="78"/>
      <c r="AO93" s="79">
        <v>34973.0</v>
      </c>
      <c r="AP93" s="79">
        <v>6994.0</v>
      </c>
      <c r="AQ93" s="79">
        <v>29144.0</v>
      </c>
      <c r="AR93" s="79">
        <v>69947.0</v>
      </c>
      <c r="AS93" s="79">
        <v>9909.0</v>
      </c>
      <c r="AT93" s="79">
        <v>48574.0</v>
      </c>
      <c r="AU93" s="79">
        <v>42745.0</v>
      </c>
      <c r="AV93" s="79">
        <v>29922.0</v>
      </c>
      <c r="AW93" s="79">
        <v>21372.0</v>
      </c>
      <c r="AX93" s="79">
        <v>34973.0</v>
      </c>
      <c r="AY93" s="79">
        <v>17486.0</v>
      </c>
      <c r="AZ93" s="78"/>
      <c r="BA93" s="79">
        <v>11657.0</v>
      </c>
      <c r="BB93" s="79">
        <v>7771.0</v>
      </c>
      <c r="BC93" s="78"/>
      <c r="BD93" s="79">
        <v>7771.0</v>
      </c>
      <c r="BE93" s="79">
        <v>23315.0</v>
      </c>
      <c r="BF93" s="78"/>
      <c r="BG93" s="79">
        <v>19429.0</v>
      </c>
      <c r="BH93" s="79">
        <v>34973.0</v>
      </c>
      <c r="BI93" s="79">
        <v>42745.0</v>
      </c>
    </row>
    <row r="94" ht="12.75" customHeight="1">
      <c r="A94" s="34">
        <v>72.0</v>
      </c>
      <c r="B94" s="79">
        <v>7131.0</v>
      </c>
      <c r="C94" s="78"/>
      <c r="D94" s="78"/>
      <c r="E94" s="79">
        <v>5943.0</v>
      </c>
      <c r="F94" s="78"/>
      <c r="G94" s="78"/>
      <c r="H94" s="79">
        <v>10697.0</v>
      </c>
      <c r="I94" s="78"/>
      <c r="J94" s="78"/>
      <c r="K94" s="79">
        <v>29715.0</v>
      </c>
      <c r="L94" s="79">
        <v>39620.0</v>
      </c>
      <c r="M94" s="79">
        <v>23772.0</v>
      </c>
      <c r="N94" s="79">
        <v>47544.0</v>
      </c>
      <c r="O94" s="79">
        <v>71316.0</v>
      </c>
      <c r="P94" s="79">
        <v>118860.0</v>
      </c>
      <c r="Q94" s="79">
        <v>118860.0</v>
      </c>
      <c r="R94" s="79">
        <v>9905.0</v>
      </c>
      <c r="S94" s="78"/>
      <c r="T94" s="79">
        <v>49525.0</v>
      </c>
      <c r="U94" s="79">
        <v>9905.0</v>
      </c>
      <c r="V94" s="78"/>
      <c r="W94" s="79">
        <v>31696.0</v>
      </c>
      <c r="X94" s="78"/>
      <c r="Y94" s="78"/>
      <c r="Z94" s="79">
        <v>39620.0</v>
      </c>
      <c r="AA94" s="79">
        <v>23772.0</v>
      </c>
      <c r="AB94" s="78"/>
      <c r="AC94" s="79">
        <v>8914.0</v>
      </c>
      <c r="AD94" s="78"/>
      <c r="AE94" s="78"/>
      <c r="AF94" s="79">
        <v>7725.0</v>
      </c>
      <c r="AG94" s="78"/>
      <c r="AH94" s="78"/>
      <c r="AI94" s="79">
        <v>7725.0</v>
      </c>
      <c r="AJ94" s="78"/>
      <c r="AK94" s="78"/>
      <c r="AL94" s="79">
        <v>10697.0</v>
      </c>
      <c r="AM94" s="79">
        <v>15451.0</v>
      </c>
      <c r="AN94" s="78"/>
      <c r="AO94" s="79">
        <v>35658.0</v>
      </c>
      <c r="AP94" s="79">
        <v>7131.0</v>
      </c>
      <c r="AQ94" s="79">
        <v>29715.0</v>
      </c>
      <c r="AR94" s="79">
        <v>71316.0</v>
      </c>
      <c r="AS94" s="79">
        <v>10103.0</v>
      </c>
      <c r="AT94" s="79">
        <v>49525.0</v>
      </c>
      <c r="AU94" s="79">
        <v>43582.0</v>
      </c>
      <c r="AV94" s="79">
        <v>30507.0</v>
      </c>
      <c r="AW94" s="79">
        <v>21791.0</v>
      </c>
      <c r="AX94" s="79">
        <v>35658.0</v>
      </c>
      <c r="AY94" s="79">
        <v>17829.0</v>
      </c>
      <c r="AZ94" s="78"/>
      <c r="BA94" s="79">
        <v>11886.0</v>
      </c>
      <c r="BB94" s="79">
        <v>7924.0</v>
      </c>
      <c r="BC94" s="78"/>
      <c r="BD94" s="79">
        <v>7924.0</v>
      </c>
      <c r="BE94" s="79">
        <v>23772.0</v>
      </c>
      <c r="BF94" s="78"/>
      <c r="BG94" s="79">
        <v>19810.0</v>
      </c>
      <c r="BH94" s="79">
        <v>35658.0</v>
      </c>
      <c r="BI94" s="79">
        <v>43582.0</v>
      </c>
    </row>
    <row r="95" ht="12.75" customHeight="1">
      <c r="A95" s="34">
        <v>73.0</v>
      </c>
      <c r="B95" s="79">
        <v>7217.0</v>
      </c>
      <c r="C95" s="78"/>
      <c r="D95" s="78"/>
      <c r="E95" s="79">
        <v>6059.0</v>
      </c>
      <c r="F95" s="78"/>
      <c r="G95" s="78"/>
      <c r="H95" s="79">
        <v>10907.0</v>
      </c>
      <c r="I95" s="78"/>
      <c r="J95" s="78"/>
      <c r="K95" s="79">
        <v>30297.0</v>
      </c>
      <c r="L95" s="79">
        <v>40397.0</v>
      </c>
      <c r="M95" s="79">
        <v>24238.0</v>
      </c>
      <c r="N95" s="79">
        <v>48476.0</v>
      </c>
      <c r="O95" s="79">
        <v>72714.0</v>
      </c>
      <c r="P95" s="79">
        <v>121191.0</v>
      </c>
      <c r="Q95" s="79">
        <v>121191.0</v>
      </c>
      <c r="R95" s="79">
        <v>10099.0</v>
      </c>
      <c r="S95" s="78"/>
      <c r="T95" s="79">
        <v>50496.0</v>
      </c>
      <c r="U95" s="79">
        <v>10099.0</v>
      </c>
      <c r="V95" s="78"/>
      <c r="W95" s="79">
        <v>32317.0</v>
      </c>
      <c r="X95" s="78"/>
      <c r="Y95" s="78"/>
      <c r="Z95" s="79">
        <v>40397.0</v>
      </c>
      <c r="AA95" s="79">
        <v>24238.0</v>
      </c>
      <c r="AB95" s="78"/>
      <c r="AC95" s="79">
        <v>9089.0</v>
      </c>
      <c r="AD95" s="78"/>
      <c r="AE95" s="78"/>
      <c r="AF95" s="79">
        <v>7877.0</v>
      </c>
      <c r="AG95" s="78"/>
      <c r="AH95" s="78"/>
      <c r="AI95" s="79">
        <v>7877.0</v>
      </c>
      <c r="AJ95" s="78"/>
      <c r="AK95" s="78"/>
      <c r="AL95" s="79">
        <v>10907.0</v>
      </c>
      <c r="AM95" s="79">
        <v>15754.0</v>
      </c>
      <c r="AN95" s="78"/>
      <c r="AO95" s="79">
        <v>36357.0</v>
      </c>
      <c r="AP95" s="79">
        <v>7271.0</v>
      </c>
      <c r="AQ95" s="79">
        <v>30297.0</v>
      </c>
      <c r="AR95" s="79">
        <v>72714.0</v>
      </c>
      <c r="AS95" s="79">
        <v>10301.0</v>
      </c>
      <c r="AT95" s="79">
        <v>50496.0</v>
      </c>
      <c r="AU95" s="79">
        <v>44436.0</v>
      </c>
      <c r="AV95" s="79">
        <v>31105.0</v>
      </c>
      <c r="AW95" s="79">
        <v>22218.0</v>
      </c>
      <c r="AX95" s="79">
        <v>36357.0</v>
      </c>
      <c r="AY95" s="79">
        <v>18178.0</v>
      </c>
      <c r="AZ95" s="78"/>
      <c r="BA95" s="79">
        <v>12119.0</v>
      </c>
      <c r="BB95" s="79">
        <v>8079.0</v>
      </c>
      <c r="BC95" s="78"/>
      <c r="BD95" s="79">
        <v>8079.0</v>
      </c>
      <c r="BE95" s="79">
        <v>24238.0</v>
      </c>
      <c r="BF95" s="78"/>
      <c r="BG95" s="79">
        <v>20198.0</v>
      </c>
      <c r="BH95" s="79">
        <v>36357.0</v>
      </c>
      <c r="BI95" s="79">
        <v>44436.0</v>
      </c>
    </row>
    <row r="96" ht="12.75" customHeight="1">
      <c r="A96" s="34">
        <v>74.0</v>
      </c>
      <c r="B96" s="79">
        <v>7415.0</v>
      </c>
      <c r="C96" s="78"/>
      <c r="D96" s="78"/>
      <c r="E96" s="79">
        <v>6179.0</v>
      </c>
      <c r="F96" s="78"/>
      <c r="G96" s="78"/>
      <c r="H96" s="79">
        <v>11122.0</v>
      </c>
      <c r="I96" s="78"/>
      <c r="J96" s="78"/>
      <c r="K96" s="79">
        <v>30896.0</v>
      </c>
      <c r="L96" s="79">
        <v>41195.0</v>
      </c>
      <c r="M96" s="79">
        <v>24717.0</v>
      </c>
      <c r="N96" s="79">
        <v>49434.0</v>
      </c>
      <c r="O96" s="79">
        <v>74151.0</v>
      </c>
      <c r="P96" s="79">
        <v>123585.0</v>
      </c>
      <c r="Q96" s="79">
        <v>123585.0</v>
      </c>
      <c r="R96" s="79">
        <v>10298.0</v>
      </c>
      <c r="S96" s="78"/>
      <c r="T96" s="79">
        <v>51493.0</v>
      </c>
      <c r="U96" s="79">
        <v>10298.0</v>
      </c>
      <c r="V96" s="78"/>
      <c r="W96" s="79">
        <v>32956.0</v>
      </c>
      <c r="X96" s="78"/>
      <c r="Y96" s="78"/>
      <c r="Z96" s="79">
        <v>41195.0</v>
      </c>
      <c r="AA96" s="79">
        <v>24717.0</v>
      </c>
      <c r="AB96" s="78"/>
      <c r="AC96" s="79">
        <v>9268.0</v>
      </c>
      <c r="AD96" s="78"/>
      <c r="AE96" s="78"/>
      <c r="AF96" s="79">
        <v>8033.0</v>
      </c>
      <c r="AG96" s="78"/>
      <c r="AH96" s="78"/>
      <c r="AI96" s="79">
        <v>8033.0</v>
      </c>
      <c r="AJ96" s="78"/>
      <c r="AK96" s="78"/>
      <c r="AL96" s="79">
        <v>11122.0</v>
      </c>
      <c r="AM96" s="79">
        <v>16066.0</v>
      </c>
      <c r="AN96" s="78"/>
      <c r="AO96" s="79">
        <v>37075.0</v>
      </c>
      <c r="AP96" s="79">
        <v>7415.0</v>
      </c>
      <c r="AQ96" s="79">
        <v>30896.0</v>
      </c>
      <c r="AR96" s="79">
        <v>74151.0</v>
      </c>
      <c r="AS96" s="79">
        <v>10504.0</v>
      </c>
      <c r="AT96" s="79">
        <v>51493.0</v>
      </c>
      <c r="AU96" s="79">
        <v>45314.0</v>
      </c>
      <c r="AV96" s="79">
        <v>31720.0</v>
      </c>
      <c r="AW96" s="79">
        <v>22657.0</v>
      </c>
      <c r="AX96" s="79">
        <v>37075.0</v>
      </c>
      <c r="AY96" s="79">
        <v>18537.0</v>
      </c>
      <c r="AZ96" s="78"/>
      <c r="BA96" s="79">
        <v>12358.0</v>
      </c>
      <c r="BB96" s="79">
        <v>8239.0</v>
      </c>
      <c r="BC96" s="78"/>
      <c r="BD96" s="79">
        <v>8239.0</v>
      </c>
      <c r="BE96" s="79">
        <v>24717.0</v>
      </c>
      <c r="BF96" s="78"/>
      <c r="BG96" s="79">
        <v>20597.0</v>
      </c>
      <c r="BH96" s="79">
        <v>37075.0</v>
      </c>
      <c r="BI96" s="79">
        <v>45314.0</v>
      </c>
    </row>
    <row r="97" ht="12.75" customHeight="1">
      <c r="A97" s="34">
        <v>75.0</v>
      </c>
      <c r="B97" s="79">
        <v>7562.0</v>
      </c>
      <c r="C97" s="78"/>
      <c r="D97" s="78"/>
      <c r="E97" s="79">
        <v>6302.0</v>
      </c>
      <c r="F97" s="78"/>
      <c r="G97" s="78"/>
      <c r="H97" s="79">
        <v>11343.0</v>
      </c>
      <c r="I97" s="78"/>
      <c r="J97" s="78"/>
      <c r="K97" s="79">
        <v>31510.0</v>
      </c>
      <c r="L97" s="79">
        <v>42014.0</v>
      </c>
      <c r="M97" s="79">
        <v>25208.0</v>
      </c>
      <c r="N97" s="79">
        <v>50416.0</v>
      </c>
      <c r="O97" s="79">
        <v>75625.0</v>
      </c>
      <c r="P97" s="79">
        <v>126042.0</v>
      </c>
      <c r="Q97" s="79">
        <v>126042.0</v>
      </c>
      <c r="R97" s="79">
        <v>10503.0</v>
      </c>
      <c r="S97" s="78"/>
      <c r="T97" s="79">
        <v>52517.0</v>
      </c>
      <c r="U97" s="79">
        <v>10503.0</v>
      </c>
      <c r="V97" s="78"/>
      <c r="W97" s="79">
        <v>33611.0</v>
      </c>
      <c r="X97" s="78"/>
      <c r="Y97" s="78"/>
      <c r="Z97" s="79">
        <v>42014.0</v>
      </c>
      <c r="AA97" s="79">
        <v>25208.0</v>
      </c>
      <c r="AB97" s="78"/>
      <c r="AC97" s="79">
        <v>9453.0</v>
      </c>
      <c r="AD97" s="78"/>
      <c r="AE97" s="78"/>
      <c r="AF97" s="79">
        <v>8192.0</v>
      </c>
      <c r="AG97" s="78"/>
      <c r="AH97" s="78"/>
      <c r="AI97" s="79">
        <v>8192.0</v>
      </c>
      <c r="AJ97" s="78"/>
      <c r="AK97" s="78"/>
      <c r="AL97" s="79">
        <v>11343.0</v>
      </c>
      <c r="AM97" s="79">
        <v>16385.0</v>
      </c>
      <c r="AN97" s="78"/>
      <c r="AO97" s="79">
        <v>37812.0</v>
      </c>
      <c r="AP97" s="79">
        <v>7562.0</v>
      </c>
      <c r="AQ97" s="79">
        <v>31510.0</v>
      </c>
      <c r="AR97" s="79">
        <v>75625.0</v>
      </c>
      <c r="AS97" s="79">
        <v>10713.0</v>
      </c>
      <c r="AT97" s="79">
        <v>52517.0</v>
      </c>
      <c r="AU97" s="79">
        <v>46215.0</v>
      </c>
      <c r="AV97" s="79">
        <v>32350.0</v>
      </c>
      <c r="AW97" s="79">
        <v>23107.0</v>
      </c>
      <c r="AX97" s="79">
        <v>37812.0</v>
      </c>
      <c r="AY97" s="79">
        <v>18906.0</v>
      </c>
      <c r="AZ97" s="78"/>
      <c r="BA97" s="79">
        <v>12604.0</v>
      </c>
      <c r="BB97" s="79">
        <v>8402.0</v>
      </c>
      <c r="BC97" s="78"/>
      <c r="BD97" s="79">
        <v>8402.0</v>
      </c>
      <c r="BE97" s="79">
        <v>25208.0</v>
      </c>
      <c r="BF97" s="78"/>
      <c r="BG97" s="79">
        <v>21007.0</v>
      </c>
      <c r="BH97" s="79">
        <v>37812.0</v>
      </c>
      <c r="BI97" s="79">
        <v>46215.0</v>
      </c>
    </row>
    <row r="98" ht="12.75" customHeight="1">
      <c r="A98" s="34">
        <v>76.0</v>
      </c>
      <c r="B98" s="79">
        <v>7713.0</v>
      </c>
      <c r="C98" s="78"/>
      <c r="D98" s="78"/>
      <c r="E98" s="79">
        <v>6428.0</v>
      </c>
      <c r="F98" s="78"/>
      <c r="G98" s="78"/>
      <c r="H98" s="79">
        <v>11570.0</v>
      </c>
      <c r="I98" s="78"/>
      <c r="J98" s="78"/>
      <c r="K98" s="79">
        <v>32140.0</v>
      </c>
      <c r="L98" s="79">
        <v>42854.0</v>
      </c>
      <c r="M98" s="79">
        <v>25712.0</v>
      </c>
      <c r="N98" s="79">
        <v>51424.0</v>
      </c>
      <c r="O98" s="79">
        <v>77137.0</v>
      </c>
      <c r="P98" s="79">
        <v>128562.0</v>
      </c>
      <c r="Q98" s="79">
        <v>128562.0</v>
      </c>
      <c r="R98" s="79">
        <v>10713.0</v>
      </c>
      <c r="S98" s="78"/>
      <c r="T98" s="79">
        <v>53567.0</v>
      </c>
      <c r="U98" s="79">
        <v>10713.0</v>
      </c>
      <c r="V98" s="78"/>
      <c r="W98" s="79">
        <v>34283.0</v>
      </c>
      <c r="X98" s="78"/>
      <c r="Y98" s="78"/>
      <c r="Z98" s="79">
        <v>42854.0</v>
      </c>
      <c r="AA98" s="79">
        <v>25712.0</v>
      </c>
      <c r="AB98" s="78"/>
      <c r="AC98" s="79">
        <v>9642.0</v>
      </c>
      <c r="AD98" s="78"/>
      <c r="AE98" s="78"/>
      <c r="AF98" s="79">
        <v>8356.0</v>
      </c>
      <c r="AG98" s="78"/>
      <c r="AH98" s="78"/>
      <c r="AI98" s="79">
        <v>8356.0</v>
      </c>
      <c r="AJ98" s="78"/>
      <c r="AK98" s="78"/>
      <c r="AL98" s="79">
        <v>11570.0</v>
      </c>
      <c r="AM98" s="79">
        <v>16713.0</v>
      </c>
      <c r="AN98" s="78"/>
      <c r="AO98" s="79">
        <v>38568.0</v>
      </c>
      <c r="AP98" s="79">
        <v>7713.0</v>
      </c>
      <c r="AQ98" s="79">
        <v>32140.0</v>
      </c>
      <c r="AR98" s="79">
        <v>77137.0</v>
      </c>
      <c r="AS98" s="79">
        <v>10927.0</v>
      </c>
      <c r="AT98" s="79">
        <v>53567.0</v>
      </c>
      <c r="AU98" s="79">
        <v>47139.0</v>
      </c>
      <c r="AV98" s="79">
        <v>32997.0</v>
      </c>
      <c r="AW98" s="79">
        <v>23569.0</v>
      </c>
      <c r="AX98" s="79">
        <v>38568.0</v>
      </c>
      <c r="AY98" s="79">
        <v>19284.0</v>
      </c>
      <c r="AZ98" s="78"/>
      <c r="BA98" s="79">
        <v>12856.0</v>
      </c>
      <c r="BB98" s="79">
        <v>8570.0</v>
      </c>
      <c r="BC98" s="78"/>
      <c r="BD98" s="79">
        <v>8570.0</v>
      </c>
      <c r="BE98" s="79">
        <v>25712.0</v>
      </c>
      <c r="BF98" s="78"/>
      <c r="BG98" s="79">
        <v>21427.0</v>
      </c>
      <c r="BH98" s="79">
        <v>38568.0</v>
      </c>
      <c r="BI98" s="79">
        <v>47139.0</v>
      </c>
    </row>
    <row r="99" ht="12.75" customHeight="1">
      <c r="A99" s="34">
        <v>77.0</v>
      </c>
      <c r="B99" s="79">
        <v>7868.0</v>
      </c>
      <c r="C99" s="78"/>
      <c r="D99" s="78"/>
      <c r="E99" s="79">
        <v>6557.0</v>
      </c>
      <c r="F99" s="78"/>
      <c r="G99" s="78"/>
      <c r="H99" s="79">
        <v>11803.0</v>
      </c>
      <c r="I99" s="78"/>
      <c r="J99" s="78"/>
      <c r="K99" s="79">
        <v>32786.0</v>
      </c>
      <c r="L99" s="79">
        <v>43715.0</v>
      </c>
      <c r="M99" s="79">
        <v>26229.0</v>
      </c>
      <c r="N99" s="79">
        <v>52458.0</v>
      </c>
      <c r="O99" s="79">
        <v>78687.0</v>
      </c>
      <c r="P99" s="79">
        <v>131145.0</v>
      </c>
      <c r="Q99" s="79">
        <v>131145.0</v>
      </c>
      <c r="R99" s="79">
        <v>10928.0</v>
      </c>
      <c r="S99" s="78"/>
      <c r="T99" s="79">
        <v>54643.0</v>
      </c>
      <c r="U99" s="79">
        <v>10928.0</v>
      </c>
      <c r="V99" s="78"/>
      <c r="W99" s="79">
        <v>34972.0</v>
      </c>
      <c r="X99" s="78"/>
      <c r="Y99" s="78"/>
      <c r="Z99" s="79">
        <v>43715.0</v>
      </c>
      <c r="AA99" s="79">
        <v>26229.0</v>
      </c>
      <c r="AB99" s="78"/>
      <c r="AC99" s="79">
        <v>9835.0</v>
      </c>
      <c r="AD99" s="78"/>
      <c r="AE99" s="78"/>
      <c r="AF99" s="79">
        <v>8524.0</v>
      </c>
      <c r="AG99" s="78"/>
      <c r="AH99" s="78"/>
      <c r="AI99" s="79">
        <v>8524.0</v>
      </c>
      <c r="AJ99" s="78"/>
      <c r="AK99" s="78"/>
      <c r="AL99" s="79">
        <v>11803.0</v>
      </c>
      <c r="AM99" s="79">
        <v>17048.0</v>
      </c>
      <c r="AN99" s="78"/>
      <c r="AO99" s="79">
        <v>39343.0</v>
      </c>
      <c r="AP99" s="79">
        <v>7868.0</v>
      </c>
      <c r="AQ99" s="79">
        <v>32786.0</v>
      </c>
      <c r="AR99" s="79">
        <v>78687.0</v>
      </c>
      <c r="AS99" s="79">
        <v>11147.0</v>
      </c>
      <c r="AT99" s="79">
        <v>54643.0</v>
      </c>
      <c r="AU99" s="79">
        <v>48086.0</v>
      </c>
      <c r="AV99" s="79">
        <v>33660.0</v>
      </c>
      <c r="AW99" s="79">
        <v>24043.0</v>
      </c>
      <c r="AX99" s="79">
        <v>39343.0</v>
      </c>
      <c r="AY99" s="79">
        <v>19671.0</v>
      </c>
      <c r="AZ99" s="78"/>
      <c r="BA99" s="79">
        <v>13114.0</v>
      </c>
      <c r="BB99" s="79">
        <v>8743.0</v>
      </c>
      <c r="BC99" s="78"/>
      <c r="BD99" s="79">
        <v>8743.0</v>
      </c>
      <c r="BE99" s="79">
        <v>26229.0</v>
      </c>
      <c r="BF99" s="78"/>
      <c r="BG99" s="79">
        <v>21857.0</v>
      </c>
      <c r="BH99" s="79">
        <v>39343.0</v>
      </c>
      <c r="BI99" s="79">
        <v>48086.0</v>
      </c>
    </row>
    <row r="100" ht="12.75" customHeight="1">
      <c r="A100" s="34">
        <v>78.0</v>
      </c>
      <c r="B100" s="79">
        <v>8027.0</v>
      </c>
      <c r="C100" s="78"/>
      <c r="D100" s="78"/>
      <c r="E100" s="79">
        <v>6689.0</v>
      </c>
      <c r="F100" s="78"/>
      <c r="G100" s="78"/>
      <c r="H100" s="79">
        <v>12041.0</v>
      </c>
      <c r="I100" s="78"/>
      <c r="J100" s="78"/>
      <c r="K100" s="79">
        <v>33447.0</v>
      </c>
      <c r="L100" s="79">
        <v>44597.0</v>
      </c>
      <c r="M100" s="79">
        <v>26758.0</v>
      </c>
      <c r="N100" s="79">
        <v>53516.0</v>
      </c>
      <c r="O100" s="79">
        <v>80274.0</v>
      </c>
      <c r="P100" s="79">
        <v>133791.0</v>
      </c>
      <c r="Q100" s="79">
        <v>133791.0</v>
      </c>
      <c r="R100" s="79">
        <v>11149.0</v>
      </c>
      <c r="S100" s="78"/>
      <c r="T100" s="79">
        <v>55746.0</v>
      </c>
      <c r="U100" s="79">
        <v>11149.0</v>
      </c>
      <c r="V100" s="78"/>
      <c r="W100" s="79">
        <v>35677.0</v>
      </c>
      <c r="X100" s="78"/>
      <c r="Y100" s="78"/>
      <c r="Z100" s="79">
        <v>44597.0</v>
      </c>
      <c r="AA100" s="79">
        <v>26758.0</v>
      </c>
      <c r="AB100" s="78"/>
      <c r="AC100" s="79">
        <v>10034.0</v>
      </c>
      <c r="AD100" s="78"/>
      <c r="AE100" s="78"/>
      <c r="AF100" s="79">
        <v>8696.0</v>
      </c>
      <c r="AG100" s="78"/>
      <c r="AH100" s="78"/>
      <c r="AI100" s="79">
        <v>8696.0</v>
      </c>
      <c r="AJ100" s="78"/>
      <c r="AK100" s="78"/>
      <c r="AL100" s="79">
        <v>12041.0</v>
      </c>
      <c r="AM100" s="79">
        <v>17392.0</v>
      </c>
      <c r="AN100" s="78"/>
      <c r="AO100" s="79">
        <v>40137.0</v>
      </c>
      <c r="AP100" s="79">
        <v>8027.0</v>
      </c>
      <c r="AQ100" s="79">
        <v>33447.0</v>
      </c>
      <c r="AR100" s="79">
        <v>80274.0</v>
      </c>
      <c r="AS100" s="79">
        <v>11372.0</v>
      </c>
      <c r="AT100" s="79">
        <v>55746.0</v>
      </c>
      <c r="AU100" s="79">
        <v>49056.0</v>
      </c>
      <c r="AV100" s="79">
        <v>34339.0</v>
      </c>
      <c r="AW100" s="79">
        <v>24528.0</v>
      </c>
      <c r="AX100" s="79">
        <v>40137.0</v>
      </c>
      <c r="AY100" s="79">
        <v>20068.0</v>
      </c>
      <c r="AZ100" s="78"/>
      <c r="BA100" s="79">
        <v>13379.0</v>
      </c>
      <c r="BB100" s="79">
        <v>8919.0</v>
      </c>
      <c r="BC100" s="78"/>
      <c r="BD100" s="79">
        <v>8919.0</v>
      </c>
      <c r="BE100" s="79">
        <v>26758.0</v>
      </c>
      <c r="BF100" s="78"/>
      <c r="BG100" s="79">
        <v>22298.0</v>
      </c>
      <c r="BH100" s="79">
        <v>40137.0</v>
      </c>
      <c r="BI100" s="79">
        <v>49056.0</v>
      </c>
    </row>
    <row r="101" ht="12.75" customHeight="1">
      <c r="A101" s="34">
        <v>79.0</v>
      </c>
      <c r="B101" s="79">
        <v>8190.0</v>
      </c>
      <c r="C101" s="78"/>
      <c r="D101" s="78"/>
      <c r="E101" s="79">
        <v>6825.0</v>
      </c>
      <c r="F101" s="78"/>
      <c r="G101" s="78"/>
      <c r="H101" s="79">
        <v>12285.0</v>
      </c>
      <c r="I101" s="78"/>
      <c r="J101" s="78"/>
      <c r="K101" s="79">
        <v>34125.0</v>
      </c>
      <c r="L101" s="79">
        <v>45500.0</v>
      </c>
      <c r="M101" s="79">
        <v>27300.0</v>
      </c>
      <c r="N101" s="79">
        <v>54600.0</v>
      </c>
      <c r="O101" s="79">
        <v>81900.0</v>
      </c>
      <c r="P101" s="79">
        <v>136500.0</v>
      </c>
      <c r="Q101" s="79">
        <v>136500.0</v>
      </c>
      <c r="R101" s="79">
        <v>11375.0</v>
      </c>
      <c r="S101" s="78"/>
      <c r="T101" s="79">
        <v>56875.0</v>
      </c>
      <c r="U101" s="79">
        <v>11375.0</v>
      </c>
      <c r="V101" s="78"/>
      <c r="W101" s="79">
        <v>36400.0</v>
      </c>
      <c r="X101" s="78"/>
      <c r="Y101" s="78"/>
      <c r="Z101" s="79">
        <v>45500.0</v>
      </c>
      <c r="AA101" s="79">
        <v>27300.0</v>
      </c>
      <c r="AB101" s="78"/>
      <c r="AC101" s="79">
        <v>10237.0</v>
      </c>
      <c r="AD101" s="78"/>
      <c r="AE101" s="78"/>
      <c r="AF101" s="79">
        <v>8872.0</v>
      </c>
      <c r="AG101" s="78"/>
      <c r="AH101" s="78"/>
      <c r="AI101" s="79">
        <v>8872.0</v>
      </c>
      <c r="AJ101" s="78"/>
      <c r="AK101" s="78"/>
      <c r="AL101" s="79">
        <v>12285.0</v>
      </c>
      <c r="AM101" s="79">
        <v>17745.0</v>
      </c>
      <c r="AN101" s="78"/>
      <c r="AO101" s="79">
        <v>40950.0</v>
      </c>
      <c r="AP101" s="79">
        <v>8190.0</v>
      </c>
      <c r="AQ101" s="79">
        <v>34125.0</v>
      </c>
      <c r="AR101" s="79">
        <v>81900.0</v>
      </c>
      <c r="AS101" s="79">
        <v>11602.0</v>
      </c>
      <c r="AT101" s="79">
        <v>56875.0</v>
      </c>
      <c r="AU101" s="79">
        <v>50050.0</v>
      </c>
      <c r="AV101" s="79">
        <v>35035.0</v>
      </c>
      <c r="AW101" s="79">
        <v>25025.0</v>
      </c>
      <c r="AX101" s="79">
        <v>40950.0</v>
      </c>
      <c r="AY101" s="79">
        <v>20475.0</v>
      </c>
      <c r="AZ101" s="78"/>
      <c r="BA101" s="79">
        <v>13650.0</v>
      </c>
      <c r="BB101" s="79">
        <v>9100.0</v>
      </c>
      <c r="BC101" s="78"/>
      <c r="BD101" s="79">
        <v>9100.0</v>
      </c>
      <c r="BE101" s="79">
        <v>27300.0</v>
      </c>
      <c r="BF101" s="78"/>
      <c r="BG101" s="79">
        <v>22750.0</v>
      </c>
      <c r="BH101" s="79">
        <v>40950.0</v>
      </c>
      <c r="BI101" s="79">
        <v>50050.0</v>
      </c>
    </row>
    <row r="102" ht="12.75" customHeight="1">
      <c r="A102" s="34">
        <v>80.0</v>
      </c>
      <c r="B102" s="79">
        <v>8356.0</v>
      </c>
      <c r="C102" s="78"/>
      <c r="D102" s="78"/>
      <c r="E102" s="79">
        <v>6963.0</v>
      </c>
      <c r="F102" s="78"/>
      <c r="G102" s="78"/>
      <c r="H102" s="79">
        <v>12534.0</v>
      </c>
      <c r="I102" s="78"/>
      <c r="J102" s="78"/>
      <c r="K102" s="79">
        <v>34818.0</v>
      </c>
      <c r="L102" s="79">
        <v>46424.0</v>
      </c>
      <c r="M102" s="79">
        <v>27854.0</v>
      </c>
      <c r="N102" s="79">
        <v>55708.0</v>
      </c>
      <c r="O102" s="79">
        <v>83563.0</v>
      </c>
      <c r="P102" s="79">
        <v>139272.0</v>
      </c>
      <c r="Q102" s="79">
        <v>139272.0</v>
      </c>
      <c r="R102" s="79">
        <v>11606.0</v>
      </c>
      <c r="S102" s="78"/>
      <c r="T102" s="79">
        <v>58030.0</v>
      </c>
      <c r="U102" s="79">
        <v>11606.0</v>
      </c>
      <c r="V102" s="78"/>
      <c r="W102" s="79">
        <v>37139.0</v>
      </c>
      <c r="X102" s="78"/>
      <c r="Y102" s="78"/>
      <c r="Z102" s="79">
        <v>46424.0</v>
      </c>
      <c r="AA102" s="79">
        <v>27854.0</v>
      </c>
      <c r="AB102" s="78"/>
      <c r="AC102" s="79">
        <v>10445.0</v>
      </c>
      <c r="AD102" s="78"/>
      <c r="AE102" s="78"/>
      <c r="AF102" s="79">
        <v>9052.0</v>
      </c>
      <c r="AG102" s="78"/>
      <c r="AH102" s="78"/>
      <c r="AI102" s="79">
        <v>9052.0</v>
      </c>
      <c r="AJ102" s="78"/>
      <c r="AK102" s="78"/>
      <c r="AL102" s="79">
        <v>12534.0</v>
      </c>
      <c r="AM102" s="79">
        <v>18105.0</v>
      </c>
      <c r="AN102" s="78"/>
      <c r="AO102" s="79">
        <v>31781.0</v>
      </c>
      <c r="AP102" s="79">
        <v>8356.0</v>
      </c>
      <c r="AQ102" s="79">
        <v>34818.0</v>
      </c>
      <c r="AR102" s="79">
        <v>83563.0</v>
      </c>
      <c r="AS102" s="79">
        <v>11838.0</v>
      </c>
      <c r="AT102" s="79">
        <v>58030.0</v>
      </c>
      <c r="AU102" s="79">
        <v>51066.0</v>
      </c>
      <c r="AV102" s="79">
        <v>35746.0</v>
      </c>
      <c r="AW102" s="79">
        <v>25533.0</v>
      </c>
      <c r="AX102" s="79">
        <v>41781.0</v>
      </c>
      <c r="AY102" s="79">
        <v>20890.0</v>
      </c>
      <c r="AZ102" s="78"/>
      <c r="BA102" s="79">
        <v>13927.0</v>
      </c>
      <c r="BB102" s="79">
        <v>9284.0</v>
      </c>
      <c r="BC102" s="78"/>
      <c r="BD102" s="79">
        <v>9284.0</v>
      </c>
      <c r="BE102" s="79">
        <v>27854.0</v>
      </c>
      <c r="BF102" s="78"/>
      <c r="BG102" s="79">
        <v>23212.0</v>
      </c>
      <c r="BH102" s="79">
        <v>41781.0</v>
      </c>
      <c r="BI102" s="79">
        <v>51066.0</v>
      </c>
    </row>
    <row r="103" ht="12.75" customHeight="1">
      <c r="A103" s="34">
        <v>81.0</v>
      </c>
      <c r="B103" s="79">
        <v>8527.0</v>
      </c>
      <c r="C103" s="78"/>
      <c r="D103" s="78"/>
      <c r="E103" s="79">
        <v>7106.0</v>
      </c>
      <c r="F103" s="78"/>
      <c r="G103" s="78"/>
      <c r="H103" s="79">
        <v>12790.0</v>
      </c>
      <c r="I103" s="78"/>
      <c r="J103" s="78"/>
      <c r="K103" s="79">
        <v>35530.0</v>
      </c>
      <c r="L103" s="79">
        <v>47373.0</v>
      </c>
      <c r="M103" s="79">
        <v>28424.0</v>
      </c>
      <c r="N103" s="79">
        <v>56848.0</v>
      </c>
      <c r="O103" s="79">
        <v>85272.0</v>
      </c>
      <c r="P103" s="79">
        <v>142120.0</v>
      </c>
      <c r="Q103" s="79">
        <v>142120.0</v>
      </c>
      <c r="R103" s="79">
        <v>11843.0</v>
      </c>
      <c r="S103" s="78"/>
      <c r="T103" s="79">
        <v>59216.0</v>
      </c>
      <c r="U103" s="79">
        <v>11843.0</v>
      </c>
      <c r="V103" s="78"/>
      <c r="W103" s="79">
        <v>37898.0</v>
      </c>
      <c r="X103" s="78"/>
      <c r="Y103" s="78"/>
      <c r="Z103" s="79">
        <v>47373.0</v>
      </c>
      <c r="AA103" s="79">
        <v>28424.0</v>
      </c>
      <c r="AB103" s="78"/>
      <c r="AC103" s="79">
        <v>10659.0</v>
      </c>
      <c r="AD103" s="78"/>
      <c r="AE103" s="78"/>
      <c r="AF103" s="79">
        <v>9237.0</v>
      </c>
      <c r="AG103" s="78"/>
      <c r="AH103" s="78"/>
      <c r="AI103" s="79">
        <v>9237.0</v>
      </c>
      <c r="AJ103" s="78"/>
      <c r="AK103" s="78"/>
      <c r="AL103" s="79">
        <v>12790.0</v>
      </c>
      <c r="AM103" s="79">
        <v>18475.0</v>
      </c>
      <c r="AN103" s="78"/>
      <c r="AO103" s="79">
        <v>42636.0</v>
      </c>
      <c r="AP103" s="79">
        <v>8527.0</v>
      </c>
      <c r="AQ103" s="79">
        <v>35530.0</v>
      </c>
      <c r="AR103" s="79">
        <v>85272.0</v>
      </c>
      <c r="AS103" s="79">
        <v>12080.0</v>
      </c>
      <c r="AT103" s="79">
        <v>59216.0</v>
      </c>
      <c r="AU103" s="79">
        <v>52110.0</v>
      </c>
      <c r="AV103" s="79">
        <v>36477.0</v>
      </c>
      <c r="AW103" s="79">
        <v>26055.0</v>
      </c>
      <c r="AX103" s="79">
        <v>42636.0</v>
      </c>
      <c r="AY103" s="79">
        <v>21318.0</v>
      </c>
      <c r="AZ103" s="78"/>
      <c r="BA103" s="79">
        <v>14212.0</v>
      </c>
      <c r="BB103" s="79">
        <v>9474.0</v>
      </c>
      <c r="BC103" s="78"/>
      <c r="BD103" s="79">
        <v>9474.0</v>
      </c>
      <c r="BE103" s="79">
        <v>28424.0</v>
      </c>
      <c r="BF103" s="78"/>
      <c r="BG103" s="79">
        <v>23686.0</v>
      </c>
      <c r="BH103" s="79">
        <v>42636.0</v>
      </c>
      <c r="BI103" s="79">
        <v>52110.0</v>
      </c>
    </row>
    <row r="104" ht="12.75" customHeight="1">
      <c r="A104" s="34">
        <v>82.0</v>
      </c>
      <c r="B104" s="79">
        <v>8702.0</v>
      </c>
      <c r="C104" s="78"/>
      <c r="D104" s="78"/>
      <c r="E104" s="79">
        <v>7252.0</v>
      </c>
      <c r="F104" s="78"/>
      <c r="G104" s="78"/>
      <c r="H104" s="79">
        <v>13053.0</v>
      </c>
      <c r="I104" s="78"/>
      <c r="J104" s="78"/>
      <c r="K104" s="79">
        <v>36260.0</v>
      </c>
      <c r="L104" s="79">
        <v>48347.0</v>
      </c>
      <c r="M104" s="79">
        <v>29008.0</v>
      </c>
      <c r="N104" s="79">
        <v>58017.0</v>
      </c>
      <c r="O104" s="79">
        <v>87025.0</v>
      </c>
      <c r="P104" s="79">
        <v>145043.0</v>
      </c>
      <c r="Q104" s="79">
        <v>145043.0</v>
      </c>
      <c r="R104" s="79">
        <v>12086.0</v>
      </c>
      <c r="S104" s="78"/>
      <c r="T104" s="79">
        <v>60434.0</v>
      </c>
      <c r="U104" s="79">
        <v>12086.0</v>
      </c>
      <c r="V104" s="78"/>
      <c r="W104" s="79">
        <v>38678.0</v>
      </c>
      <c r="X104" s="78"/>
      <c r="Y104" s="78"/>
      <c r="Z104" s="79">
        <v>48347.0</v>
      </c>
      <c r="AA104" s="79">
        <v>29008.0</v>
      </c>
      <c r="AB104" s="78"/>
      <c r="AC104" s="79">
        <v>10878.0</v>
      </c>
      <c r="AD104" s="78"/>
      <c r="AE104" s="78"/>
      <c r="AF104" s="79">
        <v>9427.0</v>
      </c>
      <c r="AG104" s="78"/>
      <c r="AH104" s="78"/>
      <c r="AI104" s="79">
        <v>9427.0</v>
      </c>
      <c r="AJ104" s="78"/>
      <c r="AK104" s="78"/>
      <c r="AL104" s="79">
        <v>13053.0</v>
      </c>
      <c r="AM104" s="79">
        <v>18855.0</v>
      </c>
      <c r="AN104" s="78"/>
      <c r="AO104" s="79">
        <v>43512.0</v>
      </c>
      <c r="AP104" s="79">
        <v>8702.0</v>
      </c>
      <c r="AQ104" s="79">
        <v>36260.0</v>
      </c>
      <c r="AR104" s="79">
        <v>87025.0</v>
      </c>
      <c r="AS104" s="79">
        <v>12328.0</v>
      </c>
      <c r="AT104" s="79">
        <v>60434.0</v>
      </c>
      <c r="AU104" s="79">
        <v>53182.0</v>
      </c>
      <c r="AV104" s="79">
        <v>37227.0</v>
      </c>
      <c r="AW104" s="79">
        <v>26591.0</v>
      </c>
      <c r="AX104" s="79">
        <v>43512.0</v>
      </c>
      <c r="AY104" s="79">
        <v>21756.0</v>
      </c>
      <c r="AZ104" s="78"/>
      <c r="BA104" s="79">
        <v>14504.0</v>
      </c>
      <c r="BB104" s="79">
        <v>9669.0</v>
      </c>
      <c r="BC104" s="78"/>
      <c r="BD104" s="79">
        <v>9669.0</v>
      </c>
      <c r="BE104" s="79">
        <v>29008.0</v>
      </c>
      <c r="BF104" s="78"/>
      <c r="BG104" s="79">
        <v>24173.0</v>
      </c>
      <c r="BH104" s="79">
        <v>43512.0</v>
      </c>
      <c r="BI104" s="79">
        <v>53182.0</v>
      </c>
    </row>
    <row r="105" ht="12.75" customHeight="1">
      <c r="A105" s="34">
        <v>83.0</v>
      </c>
      <c r="B105" s="79">
        <v>8881.0</v>
      </c>
      <c r="C105" s="78"/>
      <c r="D105" s="78"/>
      <c r="E105" s="79">
        <v>7401.0</v>
      </c>
      <c r="F105" s="78"/>
      <c r="G105" s="78"/>
      <c r="H105" s="79">
        <v>13322.0</v>
      </c>
      <c r="I105" s="78"/>
      <c r="J105" s="78"/>
      <c r="K105" s="79">
        <v>37007.0</v>
      </c>
      <c r="L105" s="79">
        <v>49343.0</v>
      </c>
      <c r="M105" s="79">
        <v>29605.0</v>
      </c>
      <c r="N105" s="79">
        <v>59211.0</v>
      </c>
      <c r="O105" s="79">
        <v>88817.0</v>
      </c>
      <c r="P105" s="79">
        <v>148029.0</v>
      </c>
      <c r="Q105" s="79">
        <v>148029.0</v>
      </c>
      <c r="R105" s="79">
        <v>12335.0</v>
      </c>
      <c r="S105" s="78"/>
      <c r="T105" s="79">
        <v>61678.0</v>
      </c>
      <c r="U105" s="79">
        <v>12335.0</v>
      </c>
      <c r="V105" s="78"/>
      <c r="W105" s="79">
        <v>39474.0</v>
      </c>
      <c r="X105" s="78"/>
      <c r="Y105" s="78"/>
      <c r="Z105" s="79">
        <v>49343.0</v>
      </c>
      <c r="AA105" s="79">
        <v>29605.0</v>
      </c>
      <c r="AB105" s="78"/>
      <c r="AC105" s="79">
        <v>11102.0</v>
      </c>
      <c r="AD105" s="78"/>
      <c r="AE105" s="78"/>
      <c r="AF105" s="79">
        <v>9621.0</v>
      </c>
      <c r="AG105" s="78"/>
      <c r="AH105" s="78"/>
      <c r="AI105" s="79">
        <v>9621.0</v>
      </c>
      <c r="AJ105" s="78"/>
      <c r="AK105" s="78"/>
      <c r="AL105" s="79">
        <v>13322.0</v>
      </c>
      <c r="AM105" s="79">
        <v>19243.0</v>
      </c>
      <c r="AN105" s="78"/>
      <c r="AO105" s="79">
        <v>44408.0</v>
      </c>
      <c r="AP105" s="79">
        <v>8881.0</v>
      </c>
      <c r="AQ105" s="79">
        <v>37007.0</v>
      </c>
      <c r="AR105" s="79">
        <v>88817.0</v>
      </c>
      <c r="AS105" s="79">
        <v>12582.0</v>
      </c>
      <c r="AT105" s="79">
        <v>61678.0</v>
      </c>
      <c r="AU105" s="79">
        <v>54277.0</v>
      </c>
      <c r="AV105" s="79">
        <v>37994.0</v>
      </c>
      <c r="AW105" s="79">
        <v>27138.0</v>
      </c>
      <c r="AX105" s="79">
        <v>44408.0</v>
      </c>
      <c r="AY105" s="79">
        <v>22204.0</v>
      </c>
      <c r="AZ105" s="78"/>
      <c r="BA105" s="79">
        <v>14802.0</v>
      </c>
      <c r="BB105" s="79">
        <v>9868.0</v>
      </c>
      <c r="BC105" s="78"/>
      <c r="BD105" s="79">
        <v>9868.0</v>
      </c>
      <c r="BE105" s="79">
        <v>29605.0</v>
      </c>
      <c r="BF105" s="78"/>
      <c r="BG105" s="79">
        <v>24671.0</v>
      </c>
      <c r="BH105" s="79">
        <v>44408.0</v>
      </c>
      <c r="BI105" s="79">
        <v>54277.0</v>
      </c>
    </row>
    <row r="106" ht="12.75" customHeight="1">
      <c r="A106" s="34">
        <v>84.0</v>
      </c>
      <c r="B106" s="79">
        <v>9065.0</v>
      </c>
      <c r="C106" s="78"/>
      <c r="D106" s="78"/>
      <c r="E106" s="79">
        <v>7554.0</v>
      </c>
      <c r="F106" s="78"/>
      <c r="G106" s="78"/>
      <c r="H106" s="79">
        <v>13598.0</v>
      </c>
      <c r="I106" s="78"/>
      <c r="J106" s="78"/>
      <c r="K106" s="79">
        <v>37772.0</v>
      </c>
      <c r="L106" s="79">
        <v>50363.0</v>
      </c>
      <c r="M106" s="79">
        <v>30218.0</v>
      </c>
      <c r="N106" s="79">
        <v>60436.0</v>
      </c>
      <c r="O106" s="79">
        <v>90654.0</v>
      </c>
      <c r="P106" s="79">
        <v>151091.0</v>
      </c>
      <c r="Q106" s="79">
        <v>151091.0</v>
      </c>
      <c r="R106" s="79">
        <v>12590.0</v>
      </c>
      <c r="S106" s="78"/>
      <c r="T106" s="79">
        <v>62954.0</v>
      </c>
      <c r="U106" s="79">
        <v>12590.0</v>
      </c>
      <c r="V106" s="78"/>
      <c r="W106" s="79">
        <v>40291.0</v>
      </c>
      <c r="X106" s="78"/>
      <c r="Y106" s="78"/>
      <c r="Z106" s="79">
        <v>50363.0</v>
      </c>
      <c r="AA106" s="79">
        <v>30218.0</v>
      </c>
      <c r="AB106" s="78"/>
      <c r="AC106" s="79">
        <v>11331.0</v>
      </c>
      <c r="AD106" s="78"/>
      <c r="AE106" s="78"/>
      <c r="AF106" s="79">
        <v>9820.0</v>
      </c>
      <c r="AG106" s="78"/>
      <c r="AH106" s="78"/>
      <c r="AI106" s="79">
        <v>9820.0</v>
      </c>
      <c r="AJ106" s="78"/>
      <c r="AK106" s="78"/>
      <c r="AL106" s="79">
        <v>13598.0</v>
      </c>
      <c r="AM106" s="79">
        <v>19641.0</v>
      </c>
      <c r="AN106" s="78"/>
      <c r="AO106" s="79">
        <v>45327.0</v>
      </c>
      <c r="AP106" s="79">
        <v>9065.0</v>
      </c>
      <c r="AQ106" s="79">
        <v>37772.0</v>
      </c>
      <c r="AR106" s="79">
        <v>90654.0</v>
      </c>
      <c r="AS106" s="79">
        <v>12842.0</v>
      </c>
      <c r="AT106" s="79">
        <v>62954.0</v>
      </c>
      <c r="AU106" s="79">
        <v>55400.0</v>
      </c>
      <c r="AV106" s="79">
        <v>38780.0</v>
      </c>
      <c r="AW106" s="79">
        <v>27700.0</v>
      </c>
      <c r="AX106" s="79">
        <v>45327.0</v>
      </c>
      <c r="AY106" s="79">
        <v>22663.0</v>
      </c>
      <c r="AZ106" s="78"/>
      <c r="BA106" s="79">
        <v>15109.0</v>
      </c>
      <c r="BB106" s="79">
        <v>10072.0</v>
      </c>
      <c r="BC106" s="78"/>
      <c r="BD106" s="79">
        <v>10072.0</v>
      </c>
      <c r="BE106" s="79">
        <v>30218.0</v>
      </c>
      <c r="BF106" s="78"/>
      <c r="BG106" s="79">
        <v>25181.0</v>
      </c>
      <c r="BH106" s="79">
        <v>45327.0</v>
      </c>
      <c r="BI106" s="79">
        <v>55400.0</v>
      </c>
    </row>
    <row r="107" ht="12.75" customHeight="1">
      <c r="A107" s="34">
        <v>85.0</v>
      </c>
      <c r="B107" s="79">
        <v>9253.0</v>
      </c>
      <c r="C107" s="78"/>
      <c r="D107" s="78"/>
      <c r="E107" s="79">
        <v>7711.0</v>
      </c>
      <c r="F107" s="78"/>
      <c r="G107" s="78"/>
      <c r="H107" s="79">
        <v>13880.0</v>
      </c>
      <c r="I107" s="78"/>
      <c r="J107" s="78"/>
      <c r="K107" s="79">
        <v>38557.0</v>
      </c>
      <c r="L107" s="79">
        <v>51409.0</v>
      </c>
      <c r="M107" s="79">
        <v>30845.0</v>
      </c>
      <c r="N107" s="79">
        <v>61691.0</v>
      </c>
      <c r="O107" s="79">
        <v>92537.0</v>
      </c>
      <c r="P107" s="79">
        <v>154228.0</v>
      </c>
      <c r="Q107" s="79">
        <v>154228.0</v>
      </c>
      <c r="R107" s="79">
        <v>12852.0</v>
      </c>
      <c r="S107" s="78"/>
      <c r="T107" s="79">
        <v>64261.0</v>
      </c>
      <c r="U107" s="79">
        <v>12852.0</v>
      </c>
      <c r="V107" s="78"/>
      <c r="W107" s="79">
        <v>41127.0</v>
      </c>
      <c r="X107" s="78"/>
      <c r="Y107" s="78"/>
      <c r="Z107" s="79">
        <v>51409.0</v>
      </c>
      <c r="AA107" s="79">
        <v>30845.0</v>
      </c>
      <c r="AB107" s="78"/>
      <c r="AC107" s="79">
        <v>11567.0</v>
      </c>
      <c r="AD107" s="78"/>
      <c r="AE107" s="78"/>
      <c r="AF107" s="79">
        <v>10024.0</v>
      </c>
      <c r="AG107" s="78"/>
      <c r="AH107" s="78"/>
      <c r="AI107" s="79">
        <v>10024.0</v>
      </c>
      <c r="AJ107" s="78"/>
      <c r="AK107" s="78"/>
      <c r="AL107" s="79">
        <v>13880.0</v>
      </c>
      <c r="AM107" s="79">
        <v>20049.0</v>
      </c>
      <c r="AN107" s="78"/>
      <c r="AO107" s="79">
        <v>46268.0</v>
      </c>
      <c r="AP107" s="79">
        <v>9253.0</v>
      </c>
      <c r="AQ107" s="79">
        <v>38557.0</v>
      </c>
      <c r="AR107" s="79">
        <v>92537.0</v>
      </c>
      <c r="AS107" s="79">
        <v>13109.0</v>
      </c>
      <c r="AT107" s="79">
        <v>64261.0</v>
      </c>
      <c r="AU107" s="79">
        <v>56550.0</v>
      </c>
      <c r="AV107" s="79">
        <v>39585.0</v>
      </c>
      <c r="AW107" s="79">
        <v>28275.0</v>
      </c>
      <c r="AX107" s="79">
        <v>46268.0</v>
      </c>
      <c r="AY107" s="79">
        <v>23134.0</v>
      </c>
      <c r="AZ107" s="78"/>
      <c r="BA107" s="79">
        <v>15422.0</v>
      </c>
      <c r="BB107" s="79">
        <v>10281.0</v>
      </c>
      <c r="BC107" s="78"/>
      <c r="BD107" s="79">
        <v>10281.0</v>
      </c>
      <c r="BE107" s="79">
        <v>30845.0</v>
      </c>
      <c r="BF107" s="78"/>
      <c r="BG107" s="79">
        <v>25704.0</v>
      </c>
      <c r="BH107" s="79">
        <v>46268.0</v>
      </c>
      <c r="BI107" s="79">
        <v>56550.0</v>
      </c>
    </row>
    <row r="108" ht="12.75" customHeight="1">
      <c r="A108" s="34">
        <v>86.0</v>
      </c>
      <c r="B108" s="79">
        <v>9447.0</v>
      </c>
      <c r="C108" s="78"/>
      <c r="D108" s="78"/>
      <c r="E108" s="79">
        <v>7872.0</v>
      </c>
      <c r="F108" s="78"/>
      <c r="G108" s="78"/>
      <c r="H108" s="79">
        <v>14170.0</v>
      </c>
      <c r="I108" s="78"/>
      <c r="J108" s="78"/>
      <c r="K108" s="79">
        <v>39363.0</v>
      </c>
      <c r="L108" s="79">
        <v>52484.0</v>
      </c>
      <c r="M108" s="79">
        <v>31490.0</v>
      </c>
      <c r="N108" s="79">
        <v>62981.0</v>
      </c>
      <c r="O108" s="79">
        <v>94472.0</v>
      </c>
      <c r="P108" s="79">
        <v>157454.0</v>
      </c>
      <c r="Q108" s="79">
        <v>157454.0</v>
      </c>
      <c r="R108" s="79">
        <v>13121.0</v>
      </c>
      <c r="S108" s="78"/>
      <c r="T108" s="79">
        <v>65605.0</v>
      </c>
      <c r="U108" s="79">
        <v>13121.0</v>
      </c>
      <c r="V108" s="78"/>
      <c r="W108" s="79">
        <v>41987.0</v>
      </c>
      <c r="X108" s="78"/>
      <c r="Y108" s="78"/>
      <c r="Z108" s="79">
        <v>52484.0</v>
      </c>
      <c r="AA108" s="79">
        <v>31490.0</v>
      </c>
      <c r="AB108" s="78"/>
      <c r="AC108" s="79">
        <v>11809.0</v>
      </c>
      <c r="AD108" s="78"/>
      <c r="AE108" s="78"/>
      <c r="AF108" s="79">
        <v>10234.0</v>
      </c>
      <c r="AG108" s="78"/>
      <c r="AH108" s="78"/>
      <c r="AI108" s="79">
        <v>10234.0</v>
      </c>
      <c r="AJ108" s="78"/>
      <c r="AK108" s="78"/>
      <c r="AL108" s="79">
        <v>14170.0</v>
      </c>
      <c r="AM108" s="79">
        <v>20469.0</v>
      </c>
      <c r="AN108" s="78"/>
      <c r="AO108" s="79">
        <v>47236.0</v>
      </c>
      <c r="AP108" s="79">
        <v>9447.0</v>
      </c>
      <c r="AQ108" s="79">
        <v>39363.0</v>
      </c>
      <c r="AR108" s="79">
        <v>94472.0</v>
      </c>
      <c r="AS108" s="79">
        <v>13383.0</v>
      </c>
      <c r="AT108" s="79">
        <v>65605.0</v>
      </c>
      <c r="AU108" s="79">
        <v>57733.0</v>
      </c>
      <c r="AV108" s="79">
        <v>40413.0</v>
      </c>
      <c r="AW108" s="79">
        <v>28866.0</v>
      </c>
      <c r="AX108" s="79">
        <v>47236.0</v>
      </c>
      <c r="AY108" s="79">
        <v>23618.0</v>
      </c>
      <c r="AZ108" s="78"/>
      <c r="BA108" s="79">
        <v>15745.0</v>
      </c>
      <c r="BB108" s="79">
        <v>10496.0</v>
      </c>
      <c r="BC108" s="78"/>
      <c r="BD108" s="79">
        <v>10496.0</v>
      </c>
      <c r="BE108" s="79">
        <v>31490.0</v>
      </c>
      <c r="BF108" s="78"/>
      <c r="BG108" s="79">
        <v>26242.0</v>
      </c>
      <c r="BH108" s="79">
        <v>47236.0</v>
      </c>
      <c r="BI108" s="79">
        <v>57733.0</v>
      </c>
    </row>
    <row r="109" ht="12.75" customHeight="1">
      <c r="A109" s="34">
        <v>87.0</v>
      </c>
      <c r="B109" s="79">
        <v>9645.0</v>
      </c>
      <c r="C109" s="78"/>
      <c r="D109" s="78"/>
      <c r="E109" s="79">
        <v>8037.0</v>
      </c>
      <c r="F109" s="78"/>
      <c r="G109" s="78"/>
      <c r="H109" s="79">
        <v>14467.0</v>
      </c>
      <c r="I109" s="78"/>
      <c r="J109" s="78"/>
      <c r="K109" s="79">
        <v>40188.0</v>
      </c>
      <c r="L109" s="79">
        <v>53585.0</v>
      </c>
      <c r="M109" s="79">
        <v>32151.0</v>
      </c>
      <c r="N109" s="79">
        <v>64302.0</v>
      </c>
      <c r="O109" s="79">
        <v>96453.0</v>
      </c>
      <c r="P109" s="79">
        <v>160755.0</v>
      </c>
      <c r="Q109" s="79">
        <v>160755.0</v>
      </c>
      <c r="R109" s="79">
        <v>13396.0</v>
      </c>
      <c r="S109" s="78"/>
      <c r="T109" s="79">
        <v>66981.0</v>
      </c>
      <c r="U109" s="79">
        <v>13396.0</v>
      </c>
      <c r="V109" s="78"/>
      <c r="W109" s="79">
        <v>42868.0</v>
      </c>
      <c r="X109" s="78"/>
      <c r="Y109" s="78"/>
      <c r="Z109" s="79">
        <v>53585.0</v>
      </c>
      <c r="AA109" s="79">
        <v>32151.0</v>
      </c>
      <c r="AB109" s="78"/>
      <c r="AC109" s="79">
        <v>12056.0</v>
      </c>
      <c r="AD109" s="78"/>
      <c r="AE109" s="78"/>
      <c r="AF109" s="79">
        <v>10449.0</v>
      </c>
      <c r="AG109" s="78"/>
      <c r="AH109" s="78"/>
      <c r="AI109" s="79">
        <v>10449.0</v>
      </c>
      <c r="AJ109" s="78"/>
      <c r="AK109" s="78"/>
      <c r="AL109" s="79">
        <v>14467.0</v>
      </c>
      <c r="AM109" s="79">
        <v>20898.0</v>
      </c>
      <c r="AN109" s="78"/>
      <c r="AO109" s="79">
        <v>48226.0</v>
      </c>
      <c r="AP109" s="79">
        <v>9645.0</v>
      </c>
      <c r="AQ109" s="79">
        <v>40188.0</v>
      </c>
      <c r="AR109" s="79">
        <v>96453.0</v>
      </c>
      <c r="AS109" s="79">
        <v>13664.0</v>
      </c>
      <c r="AT109" s="79">
        <v>66981.0</v>
      </c>
      <c r="AU109" s="79">
        <v>58943.0</v>
      </c>
      <c r="AV109" s="79">
        <v>41260.0</v>
      </c>
      <c r="AW109" s="79">
        <v>29471.0</v>
      </c>
      <c r="AX109" s="79">
        <v>48226.0</v>
      </c>
      <c r="AY109" s="79">
        <v>24113.0</v>
      </c>
      <c r="AZ109" s="78"/>
      <c r="BA109" s="79">
        <v>16075.0</v>
      </c>
      <c r="BB109" s="79">
        <v>10717.0</v>
      </c>
      <c r="BC109" s="78"/>
      <c r="BD109" s="79">
        <v>10717.0</v>
      </c>
      <c r="BE109" s="79">
        <v>32151.0</v>
      </c>
      <c r="BF109" s="78"/>
      <c r="BG109" s="79">
        <v>26792.0</v>
      </c>
      <c r="BH109" s="79">
        <v>48226.0</v>
      </c>
      <c r="BI109" s="79">
        <v>58943.0</v>
      </c>
    </row>
    <row r="110" ht="12.75" customHeight="1">
      <c r="A110" s="34">
        <v>88.0</v>
      </c>
      <c r="B110" s="79">
        <v>9848.0</v>
      </c>
      <c r="C110" s="78"/>
      <c r="D110" s="78"/>
      <c r="E110" s="79">
        <v>8207.0</v>
      </c>
      <c r="F110" s="78"/>
      <c r="G110" s="78"/>
      <c r="H110" s="79">
        <v>14773.0</v>
      </c>
      <c r="I110" s="78"/>
      <c r="J110" s="78"/>
      <c r="K110" s="79">
        <v>41036.0</v>
      </c>
      <c r="L110" s="79">
        <v>54714.0</v>
      </c>
      <c r="M110" s="79">
        <v>32828.0</v>
      </c>
      <c r="N110" s="79">
        <v>65657.0</v>
      </c>
      <c r="O110" s="79">
        <v>98486.0</v>
      </c>
      <c r="P110" s="79">
        <v>164144.0</v>
      </c>
      <c r="Q110" s="79">
        <v>164144.0</v>
      </c>
      <c r="R110" s="79">
        <v>13678.0</v>
      </c>
      <c r="S110" s="78"/>
      <c r="T110" s="79">
        <v>68393.0</v>
      </c>
      <c r="U110" s="79">
        <v>13678.0</v>
      </c>
      <c r="V110" s="78"/>
      <c r="W110" s="79">
        <v>43771.0</v>
      </c>
      <c r="X110" s="78"/>
      <c r="Y110" s="78"/>
      <c r="Z110" s="79">
        <v>54714.0</v>
      </c>
      <c r="AA110" s="79">
        <v>32828.0</v>
      </c>
      <c r="AB110" s="78"/>
      <c r="AC110" s="79">
        <v>12310.0</v>
      </c>
      <c r="AD110" s="78"/>
      <c r="AE110" s="78"/>
      <c r="AF110" s="79">
        <v>10669.0</v>
      </c>
      <c r="AG110" s="78"/>
      <c r="AH110" s="78"/>
      <c r="AI110" s="79">
        <v>10669.0</v>
      </c>
      <c r="AJ110" s="78"/>
      <c r="AK110" s="78"/>
      <c r="AL110" s="79">
        <v>14773.0</v>
      </c>
      <c r="AM110" s="79">
        <v>21338.0</v>
      </c>
      <c r="AN110" s="78"/>
      <c r="AO110" s="79">
        <v>49243.0</v>
      </c>
      <c r="AP110" s="79">
        <v>9848.0</v>
      </c>
      <c r="AQ110" s="79">
        <v>41036.0</v>
      </c>
      <c r="AR110" s="79">
        <v>98486.0</v>
      </c>
      <c r="AS110" s="79">
        <v>13952.0</v>
      </c>
      <c r="AT110" s="79">
        <v>68393.0</v>
      </c>
      <c r="AU110" s="79">
        <v>60186.0</v>
      </c>
      <c r="AV110" s="79">
        <v>42130.0</v>
      </c>
      <c r="AW110" s="79">
        <v>30093.0</v>
      </c>
      <c r="AX110" s="79">
        <v>49243.0</v>
      </c>
      <c r="AY110" s="79">
        <v>24621.0</v>
      </c>
      <c r="AZ110" s="78"/>
      <c r="BA110" s="79">
        <v>16414.0</v>
      </c>
      <c r="BB110" s="79">
        <v>10942.0</v>
      </c>
      <c r="BC110" s="78"/>
      <c r="BD110" s="79">
        <v>10942.0</v>
      </c>
      <c r="BE110" s="79">
        <v>32828.0</v>
      </c>
      <c r="BF110" s="78"/>
      <c r="BG110" s="79">
        <v>27357.0</v>
      </c>
      <c r="BH110" s="79">
        <v>49243.0</v>
      </c>
      <c r="BI110" s="79">
        <v>60186.0</v>
      </c>
    </row>
    <row r="111" ht="12.75" customHeight="1">
      <c r="A111" s="34">
        <v>89.0</v>
      </c>
      <c r="B111" s="79">
        <v>10056.0</v>
      </c>
      <c r="C111" s="78"/>
      <c r="D111" s="78"/>
      <c r="E111" s="79">
        <v>8380.0</v>
      </c>
      <c r="F111" s="78"/>
      <c r="G111" s="78"/>
      <c r="H111" s="79">
        <v>15084.0</v>
      </c>
      <c r="I111" s="78"/>
      <c r="J111" s="78"/>
      <c r="K111" s="79">
        <v>41902.0</v>
      </c>
      <c r="L111" s="79">
        <v>55869.0</v>
      </c>
      <c r="M111" s="79">
        <v>33521.0</v>
      </c>
      <c r="N111" s="79">
        <v>67043.0</v>
      </c>
      <c r="O111" s="79">
        <v>100565.0</v>
      </c>
      <c r="P111" s="79">
        <v>167609.0</v>
      </c>
      <c r="Q111" s="79">
        <v>167609.0</v>
      </c>
      <c r="R111" s="79">
        <v>13967.0</v>
      </c>
      <c r="S111" s="78"/>
      <c r="T111" s="79">
        <v>69837.0</v>
      </c>
      <c r="U111" s="79">
        <v>13967.0</v>
      </c>
      <c r="V111" s="78"/>
      <c r="W111" s="79">
        <v>44695.0</v>
      </c>
      <c r="X111" s="78"/>
      <c r="Y111" s="78"/>
      <c r="Z111" s="79">
        <v>55869.0</v>
      </c>
      <c r="AA111" s="79">
        <v>33521.0</v>
      </c>
      <c r="AB111" s="78"/>
      <c r="AC111" s="79">
        <v>12570.0</v>
      </c>
      <c r="AD111" s="78"/>
      <c r="AE111" s="78"/>
      <c r="AF111" s="79">
        <v>10894.0</v>
      </c>
      <c r="AG111" s="78"/>
      <c r="AH111" s="78"/>
      <c r="AI111" s="79">
        <v>10894.0</v>
      </c>
      <c r="AJ111" s="78"/>
      <c r="AK111" s="78"/>
      <c r="AL111" s="79">
        <v>15084.0</v>
      </c>
      <c r="AM111" s="79">
        <v>21789.0</v>
      </c>
      <c r="AN111" s="78"/>
      <c r="AO111" s="79">
        <v>50282.0</v>
      </c>
      <c r="AP111" s="79">
        <v>10056.0</v>
      </c>
      <c r="AQ111" s="79">
        <v>41902.0</v>
      </c>
      <c r="AR111" s="79">
        <v>100565.0</v>
      </c>
      <c r="AS111" s="79">
        <v>14246.0</v>
      </c>
      <c r="AT111" s="79">
        <v>69837.0</v>
      </c>
      <c r="AU111" s="79">
        <v>61456.0</v>
      </c>
      <c r="AV111" s="79">
        <v>43019.0</v>
      </c>
      <c r="AW111" s="79">
        <v>30728.0</v>
      </c>
      <c r="AX111" s="79">
        <v>50282.0</v>
      </c>
      <c r="AY111" s="79">
        <v>25141.0</v>
      </c>
      <c r="AZ111" s="78"/>
      <c r="BA111" s="79">
        <v>16760.0</v>
      </c>
      <c r="BB111" s="79">
        <v>11173.0</v>
      </c>
      <c r="BC111" s="78"/>
      <c r="BD111" s="79">
        <v>11173.0</v>
      </c>
      <c r="BE111" s="79">
        <v>33521.0</v>
      </c>
      <c r="BF111" s="78"/>
      <c r="BG111" s="79">
        <v>27934.0</v>
      </c>
      <c r="BH111" s="79">
        <v>50282.0</v>
      </c>
      <c r="BI111" s="79">
        <v>61456.0</v>
      </c>
    </row>
    <row r="112" ht="12.75" customHeight="1">
      <c r="A112" s="34">
        <v>90.0</v>
      </c>
      <c r="B112" s="79">
        <v>10269.0</v>
      </c>
      <c r="C112" s="78"/>
      <c r="D112" s="78"/>
      <c r="E112" s="79">
        <v>8558.0</v>
      </c>
      <c r="F112" s="78"/>
      <c r="G112" s="78"/>
      <c r="H112" s="79">
        <v>15404.0</v>
      </c>
      <c r="I112" s="78"/>
      <c r="J112" s="78"/>
      <c r="K112" s="79">
        <v>42790.0</v>
      </c>
      <c r="L112" s="79">
        <v>57054.0</v>
      </c>
      <c r="M112" s="79">
        <v>34232.0</v>
      </c>
      <c r="N112" s="79">
        <v>68465.0</v>
      </c>
      <c r="O112" s="79">
        <v>102697.0</v>
      </c>
      <c r="P112" s="79">
        <v>171163.0</v>
      </c>
      <c r="Q112" s="79">
        <v>171163.0</v>
      </c>
      <c r="R112" s="79">
        <v>14263.0</v>
      </c>
      <c r="S112" s="78"/>
      <c r="T112" s="79">
        <v>71317.0</v>
      </c>
      <c r="U112" s="79">
        <v>14263.0</v>
      </c>
      <c r="V112" s="78"/>
      <c r="W112" s="79">
        <v>45643.0</v>
      </c>
      <c r="X112" s="78"/>
      <c r="Y112" s="78"/>
      <c r="Z112" s="79">
        <v>57054.0</v>
      </c>
      <c r="AA112" s="79">
        <v>34232.0</v>
      </c>
      <c r="AB112" s="78"/>
      <c r="AC112" s="79">
        <v>12837.0</v>
      </c>
      <c r="AD112" s="78"/>
      <c r="AE112" s="78"/>
      <c r="AF112" s="79">
        <v>11125.0</v>
      </c>
      <c r="AG112" s="78"/>
      <c r="AH112" s="78"/>
      <c r="AI112" s="79">
        <v>11125.0</v>
      </c>
      <c r="AJ112" s="78"/>
      <c r="AK112" s="78"/>
      <c r="AL112" s="79">
        <v>15404.0</v>
      </c>
      <c r="AM112" s="79">
        <v>22251.0</v>
      </c>
      <c r="AN112" s="78"/>
      <c r="AO112" s="79">
        <v>51348.0</v>
      </c>
      <c r="AP112" s="79">
        <v>10269.0</v>
      </c>
      <c r="AQ112" s="79">
        <v>42790.0</v>
      </c>
      <c r="AR112" s="79">
        <v>102697.0</v>
      </c>
      <c r="AS112" s="79">
        <v>14548.0</v>
      </c>
      <c r="AT112" s="79">
        <v>71317.0</v>
      </c>
      <c r="AU112" s="79">
        <v>62759.0</v>
      </c>
      <c r="AV112" s="79">
        <v>43931.0</v>
      </c>
      <c r="AW112" s="79">
        <v>31379.0</v>
      </c>
      <c r="AX112" s="79">
        <v>51348.0</v>
      </c>
      <c r="AY112" s="79">
        <v>25674.0</v>
      </c>
      <c r="AZ112" s="78"/>
      <c r="BA112" s="79">
        <v>17116.0</v>
      </c>
      <c r="BB112" s="79">
        <v>11410.0</v>
      </c>
      <c r="BC112" s="78"/>
      <c r="BD112" s="79">
        <v>11410.0</v>
      </c>
      <c r="BE112" s="79">
        <v>34232.0</v>
      </c>
      <c r="BF112" s="78"/>
      <c r="BG112" s="79">
        <v>28527.0</v>
      </c>
      <c r="BH112" s="79">
        <v>51348.0</v>
      </c>
      <c r="BI112" s="79">
        <v>62759.0</v>
      </c>
    </row>
    <row r="113" ht="12.75" customHeight="1">
      <c r="A113" s="34">
        <v>91.0</v>
      </c>
      <c r="B113" s="79">
        <v>10488.0</v>
      </c>
      <c r="C113" s="78"/>
      <c r="D113" s="78"/>
      <c r="E113" s="79">
        <v>8740.0</v>
      </c>
      <c r="F113" s="78"/>
      <c r="G113" s="78"/>
      <c r="H113" s="79">
        <v>15732.0</v>
      </c>
      <c r="I113" s="78"/>
      <c r="J113" s="78"/>
      <c r="K113" s="79">
        <v>43701.0</v>
      </c>
      <c r="L113" s="79">
        <v>58268.0</v>
      </c>
      <c r="M113" s="79">
        <v>34960.0</v>
      </c>
      <c r="N113" s="79">
        <v>69921.0</v>
      </c>
      <c r="O113" s="79">
        <v>104882.0</v>
      </c>
      <c r="P113" s="79">
        <v>174804.0</v>
      </c>
      <c r="Q113" s="79">
        <v>174804.0</v>
      </c>
      <c r="R113" s="79">
        <v>14567.0</v>
      </c>
      <c r="S113" s="78"/>
      <c r="T113" s="79">
        <v>72835.0</v>
      </c>
      <c r="U113" s="79">
        <v>14567.0</v>
      </c>
      <c r="V113" s="78"/>
      <c r="W113" s="79">
        <v>46614.0</v>
      </c>
      <c r="X113" s="78"/>
      <c r="Y113" s="78"/>
      <c r="Z113" s="79">
        <v>58268.0</v>
      </c>
      <c r="AA113" s="79">
        <v>34960.0</v>
      </c>
      <c r="AB113" s="78"/>
      <c r="AC113" s="79">
        <v>13110.0</v>
      </c>
      <c r="AD113" s="78"/>
      <c r="AE113" s="78"/>
      <c r="AF113" s="79">
        <v>11362.0</v>
      </c>
      <c r="AG113" s="78"/>
      <c r="AH113" s="78"/>
      <c r="AI113" s="79">
        <v>11362.0</v>
      </c>
      <c r="AJ113" s="78"/>
      <c r="AK113" s="78"/>
      <c r="AL113" s="79">
        <v>15732.0</v>
      </c>
      <c r="AM113" s="79">
        <v>22724.0</v>
      </c>
      <c r="AN113" s="78"/>
      <c r="AO113" s="79">
        <v>52441.0</v>
      </c>
      <c r="AP113" s="79">
        <v>10488.0</v>
      </c>
      <c r="AQ113" s="79">
        <v>43701.0</v>
      </c>
      <c r="AR113" s="79">
        <v>104882.0</v>
      </c>
      <c r="AS113" s="79">
        <v>14858.0</v>
      </c>
      <c r="AT113" s="79">
        <v>72835.0</v>
      </c>
      <c r="AU113" s="79">
        <v>64094.0</v>
      </c>
      <c r="AV113" s="79">
        <v>44866.0</v>
      </c>
      <c r="AW113" s="79">
        <v>32047.0</v>
      </c>
      <c r="AX113" s="79">
        <v>52441.0</v>
      </c>
      <c r="AY113" s="79">
        <v>26220.0</v>
      </c>
      <c r="AZ113" s="78"/>
      <c r="BA113" s="79">
        <v>17480.0</v>
      </c>
      <c r="BB113" s="79">
        <v>11653.0</v>
      </c>
      <c r="BC113" s="78"/>
      <c r="BD113" s="79">
        <v>11653.0</v>
      </c>
      <c r="BE113" s="79">
        <v>34960.0</v>
      </c>
      <c r="BF113" s="78"/>
      <c r="BG113" s="79">
        <v>29134.0</v>
      </c>
      <c r="BH113" s="79">
        <v>52441.0</v>
      </c>
      <c r="BI113" s="79">
        <v>64094.0</v>
      </c>
    </row>
    <row r="114" ht="12.75" customHeight="1">
      <c r="A114" s="34">
        <v>92.0</v>
      </c>
      <c r="B114" s="79">
        <v>10712.0</v>
      </c>
      <c r="C114" s="78"/>
      <c r="D114" s="78"/>
      <c r="E114" s="79">
        <v>8926.0</v>
      </c>
      <c r="F114" s="78"/>
      <c r="G114" s="78"/>
      <c r="H114" s="79">
        <v>16068.0</v>
      </c>
      <c r="I114" s="78"/>
      <c r="J114" s="78"/>
      <c r="K114" s="79">
        <v>44633.0</v>
      </c>
      <c r="L114" s="79">
        <v>59511.0</v>
      </c>
      <c r="M114" s="79">
        <v>35706.0</v>
      </c>
      <c r="N114" s="79">
        <v>71413.0</v>
      </c>
      <c r="O114" s="79">
        <v>107120.0</v>
      </c>
      <c r="P114" s="79">
        <v>178534.0</v>
      </c>
      <c r="Q114" s="79">
        <v>178534.0</v>
      </c>
      <c r="R114" s="79">
        <v>14877.0</v>
      </c>
      <c r="S114" s="78"/>
      <c r="T114" s="79">
        <v>74389.0</v>
      </c>
      <c r="U114" s="79">
        <v>14877.0</v>
      </c>
      <c r="V114" s="78"/>
      <c r="W114" s="79">
        <v>47609.0</v>
      </c>
      <c r="X114" s="78"/>
      <c r="Y114" s="78"/>
      <c r="Z114" s="79">
        <v>59511.0</v>
      </c>
      <c r="AA114" s="79">
        <v>35706.0</v>
      </c>
      <c r="AB114" s="78"/>
      <c r="AC114" s="79">
        <v>13390.0</v>
      </c>
      <c r="AD114" s="78"/>
      <c r="AE114" s="78"/>
      <c r="AF114" s="79">
        <v>11604.0</v>
      </c>
      <c r="AG114" s="78"/>
      <c r="AH114" s="78"/>
      <c r="AI114" s="79">
        <v>11604.0</v>
      </c>
      <c r="AJ114" s="78"/>
      <c r="AK114" s="78"/>
      <c r="AL114" s="79">
        <v>16068.0</v>
      </c>
      <c r="AM114" s="79">
        <v>23209.0</v>
      </c>
      <c r="AN114" s="78"/>
      <c r="AO114" s="79">
        <v>53560.0</v>
      </c>
      <c r="AP114" s="79">
        <v>10712.0</v>
      </c>
      <c r="AQ114" s="79">
        <v>44633.0</v>
      </c>
      <c r="AR114" s="79">
        <v>107120.0</v>
      </c>
      <c r="AS114" s="79">
        <v>15175.0</v>
      </c>
      <c r="AT114" s="79">
        <v>74389.0</v>
      </c>
      <c r="AU114" s="79">
        <v>65462.0</v>
      </c>
      <c r="AV114" s="79">
        <v>45823.0</v>
      </c>
      <c r="AW114" s="79">
        <v>32731.0</v>
      </c>
      <c r="AX114" s="79">
        <v>53560.0</v>
      </c>
      <c r="AY114" s="79">
        <v>26780.0</v>
      </c>
      <c r="AZ114" s="78"/>
      <c r="BA114" s="79">
        <v>17853.0</v>
      </c>
      <c r="BB114" s="79">
        <v>11902.0</v>
      </c>
      <c r="BC114" s="78"/>
      <c r="BD114" s="79">
        <v>11902.0</v>
      </c>
      <c r="BE114" s="79">
        <v>35706.0</v>
      </c>
      <c r="BF114" s="78"/>
      <c r="BG114" s="79">
        <v>29755.0</v>
      </c>
      <c r="BH114" s="79">
        <v>53560.0</v>
      </c>
      <c r="BI114" s="79">
        <v>65462.0</v>
      </c>
    </row>
    <row r="115" ht="12.75" customHeight="1">
      <c r="A115" s="34">
        <v>93.0</v>
      </c>
      <c r="B115" s="79">
        <v>10941.0</v>
      </c>
      <c r="C115" s="78"/>
      <c r="D115" s="78"/>
      <c r="E115" s="79">
        <v>9118.0</v>
      </c>
      <c r="F115" s="78"/>
      <c r="G115" s="78"/>
      <c r="H115" s="79">
        <v>16412.0</v>
      </c>
      <c r="I115" s="78"/>
      <c r="J115" s="78"/>
      <c r="K115" s="79">
        <v>45591.0</v>
      </c>
      <c r="L115" s="79">
        <v>60788.0</v>
      </c>
      <c r="M115" s="79">
        <v>36472.0</v>
      </c>
      <c r="N115" s="79">
        <v>72945.0</v>
      </c>
      <c r="O115" s="79">
        <v>109418.0</v>
      </c>
      <c r="P115" s="79">
        <v>182364.0</v>
      </c>
      <c r="Q115" s="79">
        <v>182364.0</v>
      </c>
      <c r="R115" s="79">
        <v>15197.0</v>
      </c>
      <c r="S115" s="78"/>
      <c r="T115" s="79">
        <v>75985.0</v>
      </c>
      <c r="U115" s="79">
        <v>15197.0</v>
      </c>
      <c r="V115" s="78"/>
      <c r="W115" s="79">
        <v>48630.0</v>
      </c>
      <c r="X115" s="78"/>
      <c r="Y115" s="78"/>
      <c r="Z115" s="79">
        <v>60788.0</v>
      </c>
      <c r="AA115" s="79">
        <v>36472.0</v>
      </c>
      <c r="AB115" s="78"/>
      <c r="AC115" s="79">
        <v>13677.0</v>
      </c>
      <c r="AD115" s="78"/>
      <c r="AE115" s="78"/>
      <c r="AF115" s="79">
        <v>11853.0</v>
      </c>
      <c r="AG115" s="78"/>
      <c r="AH115" s="78"/>
      <c r="AI115" s="79">
        <v>11853.0</v>
      </c>
      <c r="AJ115" s="78"/>
      <c r="AK115" s="78"/>
      <c r="AL115" s="79">
        <v>16412.0</v>
      </c>
      <c r="AM115" s="79">
        <v>23707.0</v>
      </c>
      <c r="AN115" s="78"/>
      <c r="AO115" s="79">
        <v>43709.0</v>
      </c>
      <c r="AP115" s="79">
        <v>10941.0</v>
      </c>
      <c r="AQ115" s="79">
        <v>45591.0</v>
      </c>
      <c r="AR115" s="79">
        <v>109418.0</v>
      </c>
      <c r="AS115" s="79">
        <v>15500.0</v>
      </c>
      <c r="AT115" s="79">
        <v>75985.0</v>
      </c>
      <c r="AU115" s="79">
        <v>66866.0</v>
      </c>
      <c r="AV115" s="79">
        <v>46806.0</v>
      </c>
      <c r="AW115" s="79">
        <v>33433.0</v>
      </c>
      <c r="AX115" s="79">
        <v>54709.0</v>
      </c>
      <c r="AY115" s="79">
        <v>27354.0</v>
      </c>
      <c r="AZ115" s="78"/>
      <c r="BA115" s="79">
        <v>18236.0</v>
      </c>
      <c r="BB115" s="79">
        <v>12157.0</v>
      </c>
      <c r="BC115" s="78"/>
      <c r="BD115" s="79">
        <v>12157.0</v>
      </c>
      <c r="BE115" s="79">
        <v>36472.0</v>
      </c>
      <c r="BF115" s="78"/>
      <c r="BG115" s="79">
        <v>30394.0</v>
      </c>
      <c r="BH115" s="79">
        <v>54709.0</v>
      </c>
      <c r="BI115" s="79">
        <v>66866.0</v>
      </c>
    </row>
    <row r="116" ht="12.75" customHeight="1">
      <c r="A116" s="34">
        <v>94.0</v>
      </c>
      <c r="B116" s="79">
        <v>11176.0</v>
      </c>
      <c r="C116" s="78"/>
      <c r="D116" s="78"/>
      <c r="E116" s="79">
        <v>9314.0</v>
      </c>
      <c r="F116" s="78"/>
      <c r="G116" s="78"/>
      <c r="H116" s="79">
        <v>16765.0</v>
      </c>
      <c r="I116" s="78"/>
      <c r="J116" s="78"/>
      <c r="K116" s="79">
        <v>46570.0</v>
      </c>
      <c r="L116" s="79">
        <v>62094.0</v>
      </c>
      <c r="M116" s="79">
        <v>37256.0</v>
      </c>
      <c r="N116" s="79">
        <v>74513.0</v>
      </c>
      <c r="O116" s="79">
        <v>111769.0</v>
      </c>
      <c r="P116" s="79">
        <v>186283.0</v>
      </c>
      <c r="Q116" s="79">
        <v>186283.0</v>
      </c>
      <c r="R116" s="79">
        <v>15523.0</v>
      </c>
      <c r="S116" s="78"/>
      <c r="T116" s="79">
        <v>77617.0</v>
      </c>
      <c r="U116" s="79">
        <v>15523.0</v>
      </c>
      <c r="V116" s="78"/>
      <c r="W116" s="79">
        <v>49675.0</v>
      </c>
      <c r="X116" s="78"/>
      <c r="Y116" s="78"/>
      <c r="Z116" s="79">
        <v>62094.0</v>
      </c>
      <c r="AA116" s="79">
        <v>37256.0</v>
      </c>
      <c r="AB116" s="78"/>
      <c r="AC116" s="79">
        <v>13971.0</v>
      </c>
      <c r="AD116" s="78"/>
      <c r="AE116" s="78"/>
      <c r="AF116" s="79">
        <v>12108.0</v>
      </c>
      <c r="AG116" s="78"/>
      <c r="AH116" s="78"/>
      <c r="AI116" s="79">
        <v>12108.0</v>
      </c>
      <c r="AJ116" s="78"/>
      <c r="AK116" s="78"/>
      <c r="AL116" s="79">
        <v>16765.0</v>
      </c>
      <c r="AM116" s="79">
        <v>24216.0</v>
      </c>
      <c r="AN116" s="78"/>
      <c r="AO116" s="79">
        <v>55884.0</v>
      </c>
      <c r="AP116" s="79">
        <v>11176.0</v>
      </c>
      <c r="AQ116" s="79">
        <v>46570.0</v>
      </c>
      <c r="AR116" s="79">
        <v>111769.0</v>
      </c>
      <c r="AS116" s="79">
        <v>15834.0</v>
      </c>
      <c r="AT116" s="79">
        <v>77617.0</v>
      </c>
      <c r="AU116" s="79">
        <v>68303.0</v>
      </c>
      <c r="AV116" s="79">
        <v>47812.0</v>
      </c>
      <c r="AW116" s="79">
        <v>34151.0</v>
      </c>
      <c r="AX116" s="79">
        <v>55884.0</v>
      </c>
      <c r="AY116" s="79">
        <v>27942.0</v>
      </c>
      <c r="AZ116" s="78"/>
      <c r="BA116" s="79">
        <v>18628.0</v>
      </c>
      <c r="BB116" s="79">
        <v>12418.0</v>
      </c>
      <c r="BC116" s="78"/>
      <c r="BD116" s="79">
        <v>12418.0</v>
      </c>
      <c r="BE116" s="79">
        <v>37256.0</v>
      </c>
      <c r="BF116" s="78"/>
      <c r="BG116" s="79">
        <v>31047.0</v>
      </c>
      <c r="BH116" s="79">
        <v>55884.0</v>
      </c>
      <c r="BI116" s="79">
        <v>68303.0</v>
      </c>
    </row>
    <row r="117" ht="12.75" customHeight="1">
      <c r="A117" s="34">
        <v>95.0</v>
      </c>
      <c r="B117" s="79">
        <v>11418.0</v>
      </c>
      <c r="C117" s="78"/>
      <c r="D117" s="78"/>
      <c r="E117" s="79">
        <v>9515.0</v>
      </c>
      <c r="F117" s="78"/>
      <c r="G117" s="78"/>
      <c r="H117" s="79">
        <v>17127.0</v>
      </c>
      <c r="I117" s="78"/>
      <c r="J117" s="78"/>
      <c r="K117" s="79">
        <v>47575.0</v>
      </c>
      <c r="L117" s="79">
        <v>63434.0</v>
      </c>
      <c r="M117" s="79">
        <v>38060.0</v>
      </c>
      <c r="N117" s="79">
        <v>76120.0</v>
      </c>
      <c r="O117" s="79">
        <v>114181.0</v>
      </c>
      <c r="P117" s="79">
        <v>190302.0</v>
      </c>
      <c r="Q117" s="79">
        <v>190302.0</v>
      </c>
      <c r="R117" s="79">
        <v>15858.0</v>
      </c>
      <c r="S117" s="78"/>
      <c r="T117" s="79">
        <v>79292.0</v>
      </c>
      <c r="U117" s="79">
        <v>15858.0</v>
      </c>
      <c r="V117" s="78"/>
      <c r="W117" s="79">
        <v>50747.0</v>
      </c>
      <c r="X117" s="78"/>
      <c r="Y117" s="78"/>
      <c r="Z117" s="79">
        <v>63434.0</v>
      </c>
      <c r="AA117" s="79">
        <v>38060.0</v>
      </c>
      <c r="AB117" s="78"/>
      <c r="AC117" s="79">
        <v>14272.0</v>
      </c>
      <c r="AD117" s="78"/>
      <c r="AE117" s="78"/>
      <c r="AF117" s="79">
        <v>12369.0</v>
      </c>
      <c r="AG117" s="78"/>
      <c r="AH117" s="78"/>
      <c r="AI117" s="79">
        <v>12369.0</v>
      </c>
      <c r="AJ117" s="78"/>
      <c r="AK117" s="78"/>
      <c r="AL117" s="79">
        <v>17127.0</v>
      </c>
      <c r="AM117" s="79">
        <v>24739.0</v>
      </c>
      <c r="AN117" s="78"/>
      <c r="AO117" s="79">
        <v>57090.0</v>
      </c>
      <c r="AP117" s="79">
        <v>11418.0</v>
      </c>
      <c r="AQ117" s="79">
        <v>47575.0</v>
      </c>
      <c r="AR117" s="79">
        <v>114181.0</v>
      </c>
      <c r="AS117" s="79">
        <v>16175.0</v>
      </c>
      <c r="AT117" s="79">
        <v>79292.0</v>
      </c>
      <c r="AU117" s="79">
        <v>69777.0</v>
      </c>
      <c r="AV117" s="79">
        <v>48844.0</v>
      </c>
      <c r="AW117" s="79">
        <v>34888.0</v>
      </c>
      <c r="AX117" s="79">
        <v>57090.0</v>
      </c>
      <c r="AY117" s="79">
        <v>28545.0</v>
      </c>
      <c r="AZ117" s="78"/>
      <c r="BA117" s="79">
        <v>19030.0</v>
      </c>
      <c r="BB117" s="79">
        <v>12686.0</v>
      </c>
      <c r="BC117" s="78"/>
      <c r="BD117" s="79">
        <v>12686.0</v>
      </c>
      <c r="BE117" s="79">
        <v>38060.0</v>
      </c>
      <c r="BF117" s="78"/>
      <c r="BG117" s="79">
        <v>31717.0</v>
      </c>
      <c r="BH117" s="79">
        <v>57090.0</v>
      </c>
      <c r="BI117" s="79">
        <v>69777.0</v>
      </c>
    </row>
    <row r="118" ht="12.75" customHeight="1">
      <c r="A118" s="34">
        <v>96.0</v>
      </c>
      <c r="B118" s="79">
        <v>11665.0</v>
      </c>
      <c r="C118" s="78"/>
      <c r="D118" s="78"/>
      <c r="E118" s="79">
        <v>9721.0</v>
      </c>
      <c r="F118" s="78"/>
      <c r="G118" s="78"/>
      <c r="H118" s="79">
        <v>17498.0</v>
      </c>
      <c r="I118" s="78"/>
      <c r="J118" s="78"/>
      <c r="K118" s="79">
        <v>38605.0</v>
      </c>
      <c r="L118" s="79">
        <v>64807.0</v>
      </c>
      <c r="M118" s="79">
        <v>38884.0</v>
      </c>
      <c r="N118" s="79">
        <v>77769.0</v>
      </c>
      <c r="O118" s="79">
        <v>116653.0</v>
      </c>
      <c r="P118" s="79">
        <v>194422.0</v>
      </c>
      <c r="Q118" s="79">
        <v>194422.0</v>
      </c>
      <c r="R118" s="79">
        <v>16201.0</v>
      </c>
      <c r="S118" s="78"/>
      <c r="T118" s="79">
        <v>81009.0</v>
      </c>
      <c r="U118" s="79">
        <v>16201.0</v>
      </c>
      <c r="V118" s="78"/>
      <c r="W118" s="79">
        <v>51846.0</v>
      </c>
      <c r="X118" s="78"/>
      <c r="Y118" s="78"/>
      <c r="Z118" s="79">
        <v>64807.0</v>
      </c>
      <c r="AA118" s="79">
        <v>38884.0</v>
      </c>
      <c r="AB118" s="78"/>
      <c r="AC118" s="79">
        <v>14581.0</v>
      </c>
      <c r="AD118" s="78"/>
      <c r="AE118" s="78"/>
      <c r="AF118" s="79">
        <v>12637.0</v>
      </c>
      <c r="AG118" s="78"/>
      <c r="AH118" s="78"/>
      <c r="AI118" s="79">
        <v>12637.0</v>
      </c>
      <c r="AJ118" s="78"/>
      <c r="AK118" s="78"/>
      <c r="AL118" s="79">
        <v>17498.0</v>
      </c>
      <c r="AM118" s="79">
        <v>25274.0</v>
      </c>
      <c r="AN118" s="78"/>
      <c r="AO118" s="79">
        <v>58326.0</v>
      </c>
      <c r="AP118" s="79">
        <v>11665.0</v>
      </c>
      <c r="AQ118" s="79">
        <v>48605.0</v>
      </c>
      <c r="AR118" s="79">
        <v>116653.0</v>
      </c>
      <c r="AS118" s="79">
        <v>16525.0</v>
      </c>
      <c r="AT118" s="79">
        <v>81009.0</v>
      </c>
      <c r="AU118" s="79">
        <v>71288.0</v>
      </c>
      <c r="AV118" s="79">
        <v>49901.0</v>
      </c>
      <c r="AW118" s="79">
        <v>35644.0</v>
      </c>
      <c r="AX118" s="79">
        <v>58326.0</v>
      </c>
      <c r="AY118" s="79">
        <v>29163.0</v>
      </c>
      <c r="AZ118" s="78"/>
      <c r="BA118" s="79">
        <v>19442.0</v>
      </c>
      <c r="BB118" s="79">
        <v>12961.0</v>
      </c>
      <c r="BC118" s="78"/>
      <c r="BD118" s="79">
        <v>12961.0</v>
      </c>
      <c r="BE118" s="79">
        <v>38884.0</v>
      </c>
      <c r="BF118" s="78"/>
      <c r="BG118" s="79">
        <v>32403.0</v>
      </c>
      <c r="BH118" s="79">
        <v>58326.0</v>
      </c>
      <c r="BI118" s="79">
        <v>71288.0</v>
      </c>
    </row>
    <row r="119" ht="12.75" customHeight="1">
      <c r="A119" s="34">
        <v>97.0</v>
      </c>
      <c r="B119" s="79">
        <v>11918.0</v>
      </c>
      <c r="C119" s="78"/>
      <c r="D119" s="78"/>
      <c r="E119" s="79">
        <v>9932.0</v>
      </c>
      <c r="F119" s="78"/>
      <c r="G119" s="78"/>
      <c r="H119" s="79">
        <v>17877.0</v>
      </c>
      <c r="I119" s="78"/>
      <c r="J119" s="78"/>
      <c r="K119" s="79">
        <v>49660.0</v>
      </c>
      <c r="L119" s="79">
        <v>66214.0</v>
      </c>
      <c r="M119" s="79">
        <v>39728.0</v>
      </c>
      <c r="N119" s="79">
        <v>79457.0</v>
      </c>
      <c r="O119" s="79">
        <v>119186.0</v>
      </c>
      <c r="P119" s="79">
        <v>198643.0</v>
      </c>
      <c r="Q119" s="79">
        <v>198643.0</v>
      </c>
      <c r="R119" s="79">
        <v>16553.0</v>
      </c>
      <c r="S119" s="78"/>
      <c r="T119" s="79">
        <v>82768.0</v>
      </c>
      <c r="U119" s="79">
        <v>16553.0</v>
      </c>
      <c r="V119" s="78"/>
      <c r="W119" s="79">
        <v>52971.0</v>
      </c>
      <c r="X119" s="78"/>
      <c r="Y119" s="78"/>
      <c r="Z119" s="79">
        <v>66214.0</v>
      </c>
      <c r="AA119" s="79">
        <v>39728.0</v>
      </c>
      <c r="AB119" s="78"/>
      <c r="AC119" s="79">
        <v>14898.0</v>
      </c>
      <c r="AD119" s="78"/>
      <c r="AE119" s="78"/>
      <c r="AF119" s="79">
        <v>12911.0</v>
      </c>
      <c r="AG119" s="78"/>
      <c r="AH119" s="78"/>
      <c r="AI119" s="79">
        <v>12911.0</v>
      </c>
      <c r="AJ119" s="78"/>
      <c r="AK119" s="78"/>
      <c r="AL119" s="79">
        <v>17877.0</v>
      </c>
      <c r="AM119" s="79">
        <v>25823.0</v>
      </c>
      <c r="AN119" s="78"/>
      <c r="AO119" s="79">
        <v>59593.0</v>
      </c>
      <c r="AP119" s="79">
        <v>11918.0</v>
      </c>
      <c r="AQ119" s="79">
        <v>49660.0</v>
      </c>
      <c r="AR119" s="79">
        <v>119186.0</v>
      </c>
      <c r="AS119" s="79">
        <v>16884.0</v>
      </c>
      <c r="AT119" s="79">
        <v>82768.0</v>
      </c>
      <c r="AU119" s="79">
        <v>72836.0</v>
      </c>
      <c r="AV119" s="79">
        <v>50985.0</v>
      </c>
      <c r="AW119" s="79">
        <v>36418.0</v>
      </c>
      <c r="AX119" s="79">
        <v>59593.0</v>
      </c>
      <c r="AY119" s="79">
        <v>29796.0</v>
      </c>
      <c r="AZ119" s="78"/>
      <c r="BA119" s="79">
        <v>19864.0</v>
      </c>
      <c r="BB119" s="79">
        <v>13242.0</v>
      </c>
      <c r="BC119" s="78"/>
      <c r="BD119" s="79">
        <v>13242.0</v>
      </c>
      <c r="BE119" s="79">
        <v>39728.0</v>
      </c>
      <c r="BF119" s="78"/>
      <c r="BG119" s="79">
        <v>33107.0</v>
      </c>
      <c r="BH119" s="79">
        <v>59593.0</v>
      </c>
      <c r="BI119" s="79">
        <v>72836.0</v>
      </c>
    </row>
    <row r="120" ht="12.75" customHeight="1">
      <c r="A120" s="34">
        <v>98.0</v>
      </c>
      <c r="B120" s="79">
        <v>12178.0</v>
      </c>
      <c r="C120" s="78"/>
      <c r="D120" s="78"/>
      <c r="E120" s="79">
        <v>10148.0</v>
      </c>
      <c r="F120" s="78"/>
      <c r="G120" s="78"/>
      <c r="H120" s="79">
        <v>18268.0</v>
      </c>
      <c r="I120" s="78"/>
      <c r="J120" s="78"/>
      <c r="K120" s="79">
        <v>50744.0</v>
      </c>
      <c r="L120" s="79">
        <v>67659.0</v>
      </c>
      <c r="M120" s="79">
        <v>40595.0</v>
      </c>
      <c r="N120" s="79">
        <v>81191.0</v>
      </c>
      <c r="O120" s="79">
        <v>121786.0</v>
      </c>
      <c r="P120" s="79">
        <v>202978.0</v>
      </c>
      <c r="Q120" s="79">
        <v>202978.0</v>
      </c>
      <c r="R120" s="79">
        <v>16914.0</v>
      </c>
      <c r="S120" s="78"/>
      <c r="T120" s="79">
        <v>84574.0</v>
      </c>
      <c r="U120" s="79">
        <v>16914.0</v>
      </c>
      <c r="V120" s="78"/>
      <c r="W120" s="79">
        <v>54127.0</v>
      </c>
      <c r="X120" s="78"/>
      <c r="Y120" s="78"/>
      <c r="Z120" s="79">
        <v>67659.0</v>
      </c>
      <c r="AA120" s="79">
        <v>40595.0</v>
      </c>
      <c r="AB120" s="78"/>
      <c r="AC120" s="79">
        <v>15223.0</v>
      </c>
      <c r="AD120" s="78"/>
      <c r="AE120" s="78"/>
      <c r="AF120" s="79">
        <v>13193.0</v>
      </c>
      <c r="AG120" s="78"/>
      <c r="AH120" s="78"/>
      <c r="AI120" s="79">
        <v>13193.0</v>
      </c>
      <c r="AJ120" s="78"/>
      <c r="AK120" s="78"/>
      <c r="AL120" s="79">
        <v>18268.0</v>
      </c>
      <c r="AM120" s="79">
        <v>26387.0</v>
      </c>
      <c r="AN120" s="78"/>
      <c r="AO120" s="79">
        <v>60893.0</v>
      </c>
      <c r="AP120" s="79">
        <v>12178.0</v>
      </c>
      <c r="AQ120" s="79">
        <v>50744.0</v>
      </c>
      <c r="AR120" s="79">
        <v>121786.0</v>
      </c>
      <c r="AS120" s="79">
        <v>17253.0</v>
      </c>
      <c r="AT120" s="79">
        <v>84574.0</v>
      </c>
      <c r="AU120" s="79">
        <v>74425.0</v>
      </c>
      <c r="AV120" s="79">
        <v>52097.0</v>
      </c>
      <c r="AW120" s="79">
        <v>37212.0</v>
      </c>
      <c r="AX120" s="79">
        <v>60893.0</v>
      </c>
      <c r="AY120" s="79">
        <v>30446.0</v>
      </c>
      <c r="AZ120" s="78"/>
      <c r="BA120" s="79">
        <v>20297.0</v>
      </c>
      <c r="BB120" s="79">
        <v>13531.0</v>
      </c>
      <c r="BC120" s="78"/>
      <c r="BD120" s="79">
        <v>13531.0</v>
      </c>
      <c r="BE120" s="79">
        <v>40595.0</v>
      </c>
      <c r="BF120" s="78"/>
      <c r="BG120" s="79">
        <v>33829.0</v>
      </c>
      <c r="BH120" s="79">
        <v>60893.0</v>
      </c>
      <c r="BI120" s="79">
        <v>74425.0</v>
      </c>
    </row>
    <row r="121" ht="12.75" customHeight="1">
      <c r="A121" s="34">
        <v>99.0</v>
      </c>
      <c r="B121" s="79">
        <v>12444.0</v>
      </c>
      <c r="C121" s="78"/>
      <c r="D121" s="78"/>
      <c r="E121" s="79">
        <v>10370.0</v>
      </c>
      <c r="F121" s="78"/>
      <c r="G121" s="78"/>
      <c r="H121" s="79">
        <v>18667.0</v>
      </c>
      <c r="I121" s="78"/>
      <c r="J121" s="78"/>
      <c r="K121" s="79">
        <v>51853.0</v>
      </c>
      <c r="L121" s="79">
        <v>69137.0</v>
      </c>
      <c r="M121" s="79">
        <v>41482.0</v>
      </c>
      <c r="N121" s="79">
        <v>82965.0</v>
      </c>
      <c r="O121" s="79">
        <v>124447.0</v>
      </c>
      <c r="P121" s="79">
        <v>207413.0</v>
      </c>
      <c r="Q121" s="79">
        <v>207413.0</v>
      </c>
      <c r="R121" s="79">
        <v>17284.0</v>
      </c>
      <c r="S121" s="78"/>
      <c r="T121" s="79">
        <v>86422.0</v>
      </c>
      <c r="U121" s="79">
        <v>17284.0</v>
      </c>
      <c r="V121" s="78"/>
      <c r="W121" s="79">
        <v>55310.0</v>
      </c>
      <c r="X121" s="78"/>
      <c r="Y121" s="78"/>
      <c r="Z121" s="79">
        <v>69137.0</v>
      </c>
      <c r="AA121" s="79">
        <v>41482.0</v>
      </c>
      <c r="AB121" s="78"/>
      <c r="AC121" s="79">
        <v>15555.0</v>
      </c>
      <c r="AD121" s="78"/>
      <c r="AE121" s="78"/>
      <c r="AF121" s="79">
        <v>13481.0</v>
      </c>
      <c r="AG121" s="78"/>
      <c r="AH121" s="78"/>
      <c r="AI121" s="79">
        <v>13481.0</v>
      </c>
      <c r="AJ121" s="78"/>
      <c r="AK121" s="78"/>
      <c r="AL121" s="79">
        <v>18667.0</v>
      </c>
      <c r="AM121" s="79">
        <v>26963.0</v>
      </c>
      <c r="AN121" s="78"/>
      <c r="AO121" s="79">
        <v>62223.0</v>
      </c>
      <c r="AP121" s="79">
        <v>12444.0</v>
      </c>
      <c r="AQ121" s="79">
        <v>51853.0</v>
      </c>
      <c r="AR121" s="79">
        <v>124447.0</v>
      </c>
      <c r="AS121" s="79">
        <v>17630.0</v>
      </c>
      <c r="AT121" s="79">
        <v>86422.0</v>
      </c>
      <c r="AU121" s="79">
        <v>76051.0</v>
      </c>
      <c r="AV121" s="79">
        <v>53236.0</v>
      </c>
      <c r="AW121" s="79">
        <v>38025.0</v>
      </c>
      <c r="AX121" s="79">
        <v>62223.0</v>
      </c>
      <c r="AY121" s="79">
        <v>31111.0</v>
      </c>
      <c r="AZ121" s="78"/>
      <c r="BA121" s="79">
        <v>20741.0</v>
      </c>
      <c r="BB121" s="79">
        <v>13827.0</v>
      </c>
      <c r="BC121" s="78"/>
      <c r="BD121" s="79">
        <v>13827.0</v>
      </c>
      <c r="BE121" s="79">
        <v>41482.0</v>
      </c>
      <c r="BF121" s="78"/>
      <c r="BG121" s="79">
        <v>34568.0</v>
      </c>
      <c r="BH121" s="79">
        <v>62223.0</v>
      </c>
      <c r="BI121" s="79">
        <v>76051.0</v>
      </c>
    </row>
    <row r="122" ht="12.75" customHeight="1">
      <c r="A122" s="34">
        <v>100.0</v>
      </c>
      <c r="B122" s="79">
        <v>12862.0</v>
      </c>
      <c r="C122" s="78"/>
      <c r="D122" s="78"/>
      <c r="E122" s="79">
        <v>10719.0</v>
      </c>
      <c r="F122" s="78"/>
      <c r="G122" s="78"/>
      <c r="H122" s="79">
        <v>19294.0</v>
      </c>
      <c r="I122" s="78"/>
      <c r="J122" s="78"/>
      <c r="K122" s="79">
        <v>53595.0</v>
      </c>
      <c r="L122" s="79">
        <v>71460.0</v>
      </c>
      <c r="M122" s="79">
        <v>42876.0</v>
      </c>
      <c r="N122" s="79">
        <v>85752.0</v>
      </c>
      <c r="O122" s="79">
        <v>128628.0</v>
      </c>
      <c r="P122" s="79">
        <v>214381.0</v>
      </c>
      <c r="Q122" s="79">
        <v>214381.0</v>
      </c>
      <c r="R122" s="79">
        <v>17865.0</v>
      </c>
      <c r="S122" s="78"/>
      <c r="T122" s="79">
        <v>89325.0</v>
      </c>
      <c r="U122" s="79">
        <v>17865.0</v>
      </c>
      <c r="V122" s="78"/>
      <c r="W122" s="79">
        <v>57168.0</v>
      </c>
      <c r="X122" s="78"/>
      <c r="Y122" s="78"/>
      <c r="Z122" s="79">
        <v>71460.0</v>
      </c>
      <c r="AA122" s="79">
        <v>42876.0</v>
      </c>
      <c r="AB122" s="78"/>
      <c r="AC122" s="79">
        <v>16078.0</v>
      </c>
      <c r="AD122" s="78"/>
      <c r="AE122" s="78"/>
      <c r="AF122" s="79">
        <v>13934.0</v>
      </c>
      <c r="AG122" s="78"/>
      <c r="AH122" s="78"/>
      <c r="AI122" s="79">
        <v>13934.0</v>
      </c>
      <c r="AJ122" s="78"/>
      <c r="AK122" s="78"/>
      <c r="AL122" s="79">
        <v>19294.0</v>
      </c>
      <c r="AM122" s="79">
        <v>27869.0</v>
      </c>
      <c r="AN122" s="78"/>
      <c r="AO122" s="79">
        <v>64314.0</v>
      </c>
      <c r="AP122" s="79">
        <v>12862.0</v>
      </c>
      <c r="AQ122" s="79">
        <v>53595.0</v>
      </c>
      <c r="AR122" s="79">
        <v>128628.0</v>
      </c>
      <c r="AS122" s="79">
        <v>18222.0</v>
      </c>
      <c r="AT122" s="79">
        <v>89325.0</v>
      </c>
      <c r="AU122" s="79">
        <v>78606.0</v>
      </c>
      <c r="AV122" s="79">
        <v>55024.0</v>
      </c>
      <c r="AW122" s="79">
        <v>39303.0</v>
      </c>
      <c r="AX122" s="79">
        <v>64314.0</v>
      </c>
      <c r="AY122" s="79">
        <v>32157.0</v>
      </c>
      <c r="AZ122" s="78"/>
      <c r="BA122" s="79">
        <v>21438.0</v>
      </c>
      <c r="BB122" s="79">
        <v>14292.0</v>
      </c>
      <c r="BC122" s="78"/>
      <c r="BD122" s="79">
        <v>14292.0</v>
      </c>
      <c r="BE122" s="79">
        <v>42876.0</v>
      </c>
      <c r="BF122" s="78"/>
      <c r="BG122" s="79">
        <v>35730.0</v>
      </c>
      <c r="BH122" s="79">
        <v>64314.0</v>
      </c>
      <c r="BI122" s="79">
        <v>78606.0</v>
      </c>
    </row>
    <row r="123" ht="12.75" customHeight="1">
      <c r="A123" s="15" t="s">
        <v>151</v>
      </c>
      <c r="B123" s="15"/>
    </row>
  </sheetData>
  <printOptions/>
  <pageMargins bottom="0.7875" footer="0.0" header="0.0" left="0.7875" right="0.7875" top="0.78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85" width="8.63"/>
  </cols>
  <sheetData>
    <row r="1" ht="12.75" customHeight="1">
      <c r="A1" s="26" t="s">
        <v>0</v>
      </c>
      <c r="B1" s="27" t="s">
        <v>31</v>
      </c>
      <c r="C1" s="27" t="s">
        <v>32</v>
      </c>
      <c r="D1" s="27" t="s">
        <v>33</v>
      </c>
      <c r="E1" s="27" t="s">
        <v>34</v>
      </c>
      <c r="F1" s="27" t="s">
        <v>35</v>
      </c>
      <c r="G1" s="27" t="s">
        <v>36</v>
      </c>
      <c r="H1" s="27" t="s">
        <v>37</v>
      </c>
      <c r="I1" s="27" t="s">
        <v>38</v>
      </c>
      <c r="J1" s="27" t="s">
        <v>39</v>
      </c>
      <c r="K1" s="28" t="s">
        <v>40</v>
      </c>
      <c r="L1" s="27" t="s">
        <v>41</v>
      </c>
      <c r="M1" s="27" t="s">
        <v>42</v>
      </c>
      <c r="N1" s="27" t="s">
        <v>43</v>
      </c>
      <c r="O1" s="27" t="s">
        <v>44</v>
      </c>
      <c r="P1" s="27" t="s">
        <v>45</v>
      </c>
      <c r="Q1" s="27" t="s">
        <v>46</v>
      </c>
      <c r="R1" s="27" t="s">
        <v>47</v>
      </c>
      <c r="S1" s="27" t="s">
        <v>48</v>
      </c>
      <c r="T1" s="27" t="s">
        <v>49</v>
      </c>
      <c r="U1" s="27" t="s">
        <v>50</v>
      </c>
      <c r="V1" s="27" t="s">
        <v>51</v>
      </c>
      <c r="W1" s="27" t="s">
        <v>52</v>
      </c>
      <c r="X1" s="27" t="s">
        <v>53</v>
      </c>
      <c r="Y1" s="27" t="s">
        <v>54</v>
      </c>
      <c r="Z1" s="27" t="s">
        <v>55</v>
      </c>
      <c r="AA1" s="27" t="s">
        <v>56</v>
      </c>
      <c r="AB1" s="27" t="s">
        <v>57</v>
      </c>
      <c r="AC1" s="27" t="s">
        <v>58</v>
      </c>
      <c r="AD1" s="27" t="s">
        <v>59</v>
      </c>
      <c r="AE1" s="27" t="s">
        <v>60</v>
      </c>
      <c r="AF1" s="27" t="s">
        <v>61</v>
      </c>
      <c r="AG1" s="27" t="s">
        <v>62</v>
      </c>
      <c r="AH1" s="27" t="s">
        <v>63</v>
      </c>
      <c r="AI1" s="28" t="s">
        <v>65</v>
      </c>
      <c r="AJ1" s="27" t="s">
        <v>66</v>
      </c>
      <c r="AK1" s="27" t="s">
        <v>67</v>
      </c>
      <c r="AL1" s="27" t="s">
        <v>68</v>
      </c>
      <c r="AM1" s="27" t="s">
        <v>69</v>
      </c>
      <c r="AN1" s="27" t="s">
        <v>70</v>
      </c>
      <c r="AO1" s="29"/>
      <c r="AQ1" s="15" t="s">
        <v>71</v>
      </c>
      <c r="AV1" s="29"/>
      <c r="AW1" s="30">
        <v>5.4</v>
      </c>
      <c r="AX1" s="15" t="s">
        <v>72</v>
      </c>
      <c r="AY1" s="29"/>
      <c r="AZ1" s="29"/>
      <c r="BA1" s="29"/>
      <c r="BB1" s="29"/>
      <c r="BD1" s="29"/>
      <c r="BE1" s="29"/>
      <c r="BF1" s="29"/>
      <c r="BG1" s="29"/>
      <c r="BH1" s="29"/>
      <c r="BI1" s="29"/>
      <c r="BJ1" s="29"/>
      <c r="BK1" s="29"/>
      <c r="BL1" s="29"/>
      <c r="BM1" s="29"/>
      <c r="BN1" s="29"/>
      <c r="BO1" s="29"/>
      <c r="BP1" s="29"/>
      <c r="BQ1" s="29"/>
      <c r="BR1" s="29"/>
      <c r="BS1" s="29"/>
      <c r="BT1" s="31" t="s">
        <v>16</v>
      </c>
      <c r="BU1" s="29"/>
      <c r="BV1" s="29"/>
      <c r="BW1" s="29"/>
      <c r="BX1" s="29"/>
      <c r="BY1" s="29"/>
      <c r="BZ1" s="29"/>
      <c r="CA1" s="29"/>
      <c r="CB1" s="29"/>
      <c r="CC1" s="29"/>
      <c r="CD1" s="29"/>
      <c r="CE1" s="29"/>
      <c r="CF1" s="29"/>
      <c r="CG1" s="29"/>
    </row>
    <row r="2" ht="12.75" customHeight="1">
      <c r="A2" s="32" t="s">
        <v>73</v>
      </c>
      <c r="B2" s="33">
        <v>0.09</v>
      </c>
      <c r="C2" s="33">
        <v>0.108</v>
      </c>
      <c r="D2" s="33">
        <v>0.108</v>
      </c>
      <c r="E2" s="33">
        <v>0.117</v>
      </c>
      <c r="F2" s="33">
        <v>0.117</v>
      </c>
      <c r="G2" s="33">
        <v>0.12</v>
      </c>
      <c r="H2" s="33">
        <v>0.12</v>
      </c>
      <c r="I2" s="33">
        <v>0.135</v>
      </c>
      <c r="J2" s="33">
        <v>0.15</v>
      </c>
      <c r="K2" s="33">
        <v>0.15</v>
      </c>
      <c r="L2" s="33">
        <v>0.153</v>
      </c>
      <c r="M2" s="33">
        <v>0.162</v>
      </c>
      <c r="N2" s="33">
        <v>0.162</v>
      </c>
      <c r="O2" s="33">
        <v>0.18</v>
      </c>
      <c r="P2" s="33">
        <v>0.234</v>
      </c>
      <c r="Q2" s="33">
        <v>0.27</v>
      </c>
      <c r="R2" s="33">
        <v>0.3</v>
      </c>
      <c r="S2" s="33">
        <v>0.33</v>
      </c>
      <c r="T2" s="33">
        <v>0.36</v>
      </c>
      <c r="U2" s="33">
        <v>0.36</v>
      </c>
      <c r="V2" s="33">
        <v>0.36</v>
      </c>
      <c r="W2" s="33">
        <v>0.45</v>
      </c>
      <c r="X2" s="33">
        <v>0.45</v>
      </c>
      <c r="Y2" s="33">
        <v>0.462</v>
      </c>
      <c r="Z2" s="33">
        <v>0.48</v>
      </c>
      <c r="AA2" s="33">
        <v>0.54</v>
      </c>
      <c r="AB2" s="33">
        <v>0.54</v>
      </c>
      <c r="AC2" s="33">
        <v>0.54</v>
      </c>
      <c r="AD2" s="33">
        <v>0.6</v>
      </c>
      <c r="AE2" s="33">
        <v>0.6</v>
      </c>
      <c r="AF2" s="33">
        <v>0.66</v>
      </c>
      <c r="AG2" s="33">
        <v>0.66</v>
      </c>
      <c r="AH2" s="33">
        <v>0.72</v>
      </c>
      <c r="AI2" s="33">
        <v>0.75</v>
      </c>
      <c r="AJ2" s="33">
        <v>0.75</v>
      </c>
      <c r="AK2" s="33">
        <v>1.08</v>
      </c>
      <c r="AL2" s="33">
        <v>1.08</v>
      </c>
      <c r="AM2" s="33">
        <v>1.8</v>
      </c>
      <c r="AN2" s="33">
        <v>1.8</v>
      </c>
      <c r="AO2" s="29"/>
      <c r="AQ2" s="15" t="s">
        <v>74</v>
      </c>
      <c r="AV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row>
    <row r="3" ht="12.75" customHeight="1">
      <c r="A3" s="34">
        <v>1.0</v>
      </c>
      <c r="B3" s="35">
        <v>1246.0</v>
      </c>
      <c r="AN3" s="36">
        <f t="shared" ref="AN3:AN4" si="1">AN$57 * B3/B$57</f>
        <v>24921.45357</v>
      </c>
      <c r="AO3" s="37"/>
      <c r="AR3" s="23">
        <f t="shared" ref="AR3:AR51" si="2">AN3/5.4</f>
        <v>4615.083994</v>
      </c>
      <c r="AS3" s="15" t="s">
        <v>77</v>
      </c>
      <c r="AT3" s="23">
        <f t="shared" ref="AT3:AT62" si="3">AR3-4500</f>
        <v>115.0839944</v>
      </c>
      <c r="AU3" s="15"/>
      <c r="AV3" s="15" t="s">
        <v>78</v>
      </c>
    </row>
    <row r="4" ht="12.75" customHeight="1">
      <c r="A4" s="34">
        <v>2.0</v>
      </c>
      <c r="B4" s="35">
        <v>1265.0</v>
      </c>
      <c r="AM4" s="38" t="s">
        <v>80</v>
      </c>
      <c r="AN4" s="36">
        <f t="shared" si="1"/>
        <v>25301.47573</v>
      </c>
      <c r="AO4" s="40"/>
      <c r="AR4" s="23">
        <f t="shared" si="2"/>
        <v>4685.458469</v>
      </c>
      <c r="AT4" s="23">
        <f t="shared" si="3"/>
        <v>185.4584694</v>
      </c>
      <c r="AV4" s="43">
        <f t="shared" ref="AV4:AV102" si="4">AT4/AT3</f>
        <v>1.611505322</v>
      </c>
      <c r="AX4" s="15" t="s">
        <v>94</v>
      </c>
    </row>
    <row r="5" ht="12.75" customHeight="1">
      <c r="A5" s="34">
        <v>3.0</v>
      </c>
      <c r="B5" s="41">
        <v>1284.0</v>
      </c>
      <c r="C5" s="41">
        <v>1541.0</v>
      </c>
      <c r="K5" s="41">
        <v>2140.0</v>
      </c>
      <c r="Z5" s="41">
        <v>6849.0</v>
      </c>
      <c r="AI5" s="44">
        <v>10702.0</v>
      </c>
      <c r="AN5" s="36">
        <f t="shared" ref="AN5:AN13" si="5">AN$57 * AI5/AI$57</f>
        <v>25685.33932</v>
      </c>
      <c r="AO5" s="40"/>
      <c r="AR5" s="23">
        <f t="shared" si="2"/>
        <v>4756.544319</v>
      </c>
      <c r="AT5" s="23">
        <f t="shared" si="3"/>
        <v>256.5443194</v>
      </c>
      <c r="AV5" s="43">
        <f t="shared" si="4"/>
        <v>1.383297944</v>
      </c>
      <c r="AX5" s="15" t="s">
        <v>118</v>
      </c>
    </row>
    <row r="6" ht="12.75" customHeight="1">
      <c r="A6" s="34">
        <v>4.0</v>
      </c>
      <c r="B6" s="41">
        <v>1293.0</v>
      </c>
      <c r="C6" s="41">
        <v>1551.0</v>
      </c>
      <c r="K6" s="45">
        <v>2155.0</v>
      </c>
      <c r="T6" s="41">
        <v>5172.0</v>
      </c>
      <c r="W6" s="41">
        <v>6465.0</v>
      </c>
      <c r="Z6" s="45">
        <v>6896.0</v>
      </c>
      <c r="AD6" s="41">
        <v>8620.0</v>
      </c>
      <c r="AI6" s="46">
        <v>10776.0</v>
      </c>
      <c r="AN6" s="36">
        <f t="shared" si="5"/>
        <v>25862.94305</v>
      </c>
      <c r="AO6" s="40"/>
      <c r="AR6" s="23">
        <f t="shared" si="2"/>
        <v>4789.433899</v>
      </c>
      <c r="AT6" s="23">
        <f t="shared" si="3"/>
        <v>289.4338989</v>
      </c>
      <c r="AV6" s="43">
        <f t="shared" si="4"/>
        <v>1.12820233</v>
      </c>
    </row>
    <row r="7" ht="12.75" customHeight="1">
      <c r="A7" s="34">
        <v>5.0</v>
      </c>
      <c r="B7" s="41">
        <v>1299.0</v>
      </c>
      <c r="C7" s="45">
        <v>1559.0</v>
      </c>
      <c r="K7" s="45">
        <v>2165.0</v>
      </c>
      <c r="T7" s="45">
        <v>5197.0</v>
      </c>
      <c r="W7" s="45">
        <v>6497.0</v>
      </c>
      <c r="Z7" s="45">
        <v>6930.0</v>
      </c>
      <c r="AD7" s="45">
        <v>8862.0</v>
      </c>
      <c r="AI7" s="46">
        <v>10828.0</v>
      </c>
      <c r="AN7" s="36">
        <f t="shared" si="5"/>
        <v>25987.74567</v>
      </c>
      <c r="AO7" s="40"/>
      <c r="AR7" s="23">
        <f t="shared" si="2"/>
        <v>4812.545495</v>
      </c>
      <c r="AT7" s="23">
        <f t="shared" si="3"/>
        <v>312.5454953</v>
      </c>
      <c r="AV7" s="43">
        <f t="shared" si="4"/>
        <v>1.079851035</v>
      </c>
    </row>
    <row r="8" ht="12.75" customHeight="1">
      <c r="A8" s="34">
        <v>6.0</v>
      </c>
      <c r="B8" s="45">
        <v>1306.0</v>
      </c>
      <c r="C8" s="45">
        <v>1567.0</v>
      </c>
      <c r="G8" s="41">
        <v>1741.0</v>
      </c>
      <c r="K8" s="41">
        <v>2177.0</v>
      </c>
      <c r="O8" s="41">
        <v>2612.0</v>
      </c>
      <c r="T8" s="45">
        <v>5225.0</v>
      </c>
      <c r="W8" s="45">
        <v>6531.0</v>
      </c>
      <c r="Z8" s="45">
        <v>6967.0</v>
      </c>
      <c r="AD8" s="45">
        <v>8709.0</v>
      </c>
      <c r="AI8" s="44">
        <v>10886.0</v>
      </c>
      <c r="AN8" s="36">
        <f t="shared" si="5"/>
        <v>26126.9486</v>
      </c>
      <c r="AO8" s="40"/>
      <c r="AR8" s="23">
        <f t="shared" si="2"/>
        <v>4838.323814</v>
      </c>
      <c r="AT8" s="23">
        <f t="shared" si="3"/>
        <v>338.3238143</v>
      </c>
      <c r="AV8" s="43">
        <f t="shared" si="4"/>
        <v>1.082478613</v>
      </c>
    </row>
    <row r="9" ht="12.75" customHeight="1">
      <c r="A9" s="34">
        <v>7.0</v>
      </c>
      <c r="B9" s="41">
        <v>1313.0</v>
      </c>
      <c r="C9" s="41">
        <v>1576.0</v>
      </c>
      <c r="G9" s="45">
        <v>1751.0</v>
      </c>
      <c r="K9" s="45">
        <v>2189.0</v>
      </c>
      <c r="O9" s="45">
        <v>2627.0</v>
      </c>
      <c r="S9" s="41">
        <v>4817.0</v>
      </c>
      <c r="T9" s="45">
        <v>5255.0</v>
      </c>
      <c r="W9" s="45">
        <v>6569.0</v>
      </c>
      <c r="Y9" s="41">
        <v>6744.0</v>
      </c>
      <c r="Z9" s="45">
        <v>7007.0</v>
      </c>
      <c r="AD9" s="45">
        <v>8759.0</v>
      </c>
      <c r="AF9" s="41">
        <v>9635.0</v>
      </c>
      <c r="AI9" s="46">
        <v>10949.0</v>
      </c>
      <c r="AN9" s="36">
        <f t="shared" si="5"/>
        <v>26278.15177</v>
      </c>
      <c r="AO9" s="40"/>
      <c r="AR9" s="23">
        <f t="shared" si="2"/>
        <v>4866.324402</v>
      </c>
      <c r="AT9" s="23">
        <f t="shared" si="3"/>
        <v>366.3244023</v>
      </c>
      <c r="AV9" s="43">
        <f t="shared" si="4"/>
        <v>1.082762687</v>
      </c>
    </row>
    <row r="10" ht="12.75" customHeight="1">
      <c r="A10" s="34">
        <v>8.0</v>
      </c>
      <c r="B10" s="45">
        <v>1322.0</v>
      </c>
      <c r="C10" s="45">
        <v>1586.0</v>
      </c>
      <c r="G10" s="45">
        <v>1762.0</v>
      </c>
      <c r="K10" s="45">
        <v>2203.0</v>
      </c>
      <c r="O10" s="45">
        <v>2644.0</v>
      </c>
      <c r="S10" s="45">
        <v>4847.0</v>
      </c>
      <c r="T10" s="45">
        <v>5288.0</v>
      </c>
      <c r="W10" s="45">
        <v>6610.0</v>
      </c>
      <c r="Y10" s="45">
        <v>6786.0</v>
      </c>
      <c r="Z10" s="45">
        <v>7051.0</v>
      </c>
      <c r="AD10" s="45">
        <v>8814.0</v>
      </c>
      <c r="AF10" s="45">
        <v>9695.0</v>
      </c>
      <c r="AI10" s="46">
        <v>11017.0</v>
      </c>
      <c r="AN10" s="36">
        <f t="shared" si="5"/>
        <v>26441.3552</v>
      </c>
      <c r="AO10" s="40"/>
      <c r="AR10" s="23">
        <f t="shared" si="2"/>
        <v>4896.547259</v>
      </c>
      <c r="AT10" s="23">
        <f t="shared" si="3"/>
        <v>396.5472591</v>
      </c>
      <c r="AV10" s="43">
        <f t="shared" si="4"/>
        <v>1.082502985</v>
      </c>
    </row>
    <row r="11" ht="12.75" customHeight="1">
      <c r="A11" s="34">
        <v>9.0</v>
      </c>
      <c r="B11" s="45">
        <v>1330.0</v>
      </c>
      <c r="C11" s="45">
        <v>1597.0</v>
      </c>
      <c r="D11" s="41">
        <v>1597.0</v>
      </c>
      <c r="G11" s="45">
        <v>1774.0</v>
      </c>
      <c r="K11" s="45">
        <v>2218.0</v>
      </c>
      <c r="O11" s="45">
        <v>2661.0</v>
      </c>
      <c r="S11" s="45">
        <v>4880.0</v>
      </c>
      <c r="T11" s="41">
        <v>5323.0</v>
      </c>
      <c r="W11" s="41">
        <v>6654.0</v>
      </c>
      <c r="X11" s="41">
        <v>6654.0</v>
      </c>
      <c r="Y11" s="45">
        <v>6832.0</v>
      </c>
      <c r="AA11" s="41">
        <v>7895.0</v>
      </c>
      <c r="AD11" s="41">
        <v>8872.0</v>
      </c>
      <c r="AF11" s="45">
        <v>9760.0</v>
      </c>
      <c r="AI11" s="46">
        <v>11091.0</v>
      </c>
      <c r="AN11" s="36">
        <f t="shared" si="5"/>
        <v>26618.95893</v>
      </c>
      <c r="AO11" s="40"/>
      <c r="AR11" s="23">
        <f t="shared" si="2"/>
        <v>4929.436839</v>
      </c>
      <c r="AT11" s="23">
        <f t="shared" si="3"/>
        <v>429.4368386</v>
      </c>
      <c r="AV11" s="43">
        <f t="shared" si="4"/>
        <v>1.082939873</v>
      </c>
    </row>
    <row r="12" ht="12.75" customHeight="1">
      <c r="A12" s="34">
        <v>10.0</v>
      </c>
      <c r="B12" s="45">
        <v>1340.0</v>
      </c>
      <c r="C12" s="45">
        <v>1608.0</v>
      </c>
      <c r="D12" s="45">
        <v>1608.0</v>
      </c>
      <c r="G12" s="45">
        <v>1787.0</v>
      </c>
      <c r="K12" s="45">
        <v>2233.0</v>
      </c>
      <c r="O12" s="45">
        <v>2680.0</v>
      </c>
      <c r="S12" s="45">
        <v>4914.0</v>
      </c>
      <c r="T12" s="45">
        <v>5361.0</v>
      </c>
      <c r="W12" s="45">
        <v>6701.0</v>
      </c>
      <c r="X12" s="45">
        <v>6701.0</v>
      </c>
      <c r="Y12" s="45">
        <v>6880.0</v>
      </c>
      <c r="AA12" s="45">
        <v>8042.0</v>
      </c>
      <c r="AD12" s="45">
        <v>8935.0</v>
      </c>
      <c r="AF12" s="45">
        <v>9829.0</v>
      </c>
      <c r="AI12" s="46">
        <v>11169.0</v>
      </c>
      <c r="AN12" s="36">
        <f t="shared" si="5"/>
        <v>26806.16286</v>
      </c>
      <c r="AO12" s="40"/>
      <c r="AR12" s="23">
        <f t="shared" si="2"/>
        <v>4964.104233</v>
      </c>
      <c r="AT12" s="23">
        <f t="shared" si="3"/>
        <v>464.1042332</v>
      </c>
      <c r="AV12" s="43">
        <f t="shared" si="4"/>
        <v>1.080727575</v>
      </c>
    </row>
    <row r="13" ht="12.75" customHeight="1">
      <c r="A13" s="34">
        <v>11.0</v>
      </c>
      <c r="B13" s="45">
        <v>1350.0</v>
      </c>
      <c r="C13" s="41">
        <v>1620.0</v>
      </c>
      <c r="D13" s="45">
        <v>1620.0</v>
      </c>
      <c r="G13" s="45">
        <v>1800.0</v>
      </c>
      <c r="K13" s="45">
        <v>2250.0</v>
      </c>
      <c r="O13" s="45">
        <v>2700.0</v>
      </c>
      <c r="S13" s="45">
        <v>4951.0</v>
      </c>
      <c r="T13" s="45">
        <v>5401.0</v>
      </c>
      <c r="W13" s="45">
        <v>6752.0</v>
      </c>
      <c r="X13" s="45">
        <v>6752.0</v>
      </c>
      <c r="Y13" s="45">
        <v>6932.0</v>
      </c>
      <c r="AA13" s="45">
        <v>8102.0</v>
      </c>
      <c r="AD13" s="45">
        <v>9003.0</v>
      </c>
      <c r="AF13" s="45">
        <v>9903.0</v>
      </c>
      <c r="AI13" s="46">
        <v>11253.0</v>
      </c>
      <c r="AN13" s="36">
        <f t="shared" si="5"/>
        <v>27007.76709</v>
      </c>
      <c r="AO13" s="40"/>
      <c r="AR13" s="23">
        <f t="shared" si="2"/>
        <v>5001.43835</v>
      </c>
      <c r="AT13" s="23">
        <f t="shared" si="3"/>
        <v>501.4383504</v>
      </c>
      <c r="AV13" s="43">
        <f t="shared" si="4"/>
        <v>1.080443389</v>
      </c>
    </row>
    <row r="14" ht="12.75" customHeight="1">
      <c r="A14" s="34">
        <v>12.0</v>
      </c>
      <c r="B14" s="45">
        <v>1361.0</v>
      </c>
      <c r="C14" s="41">
        <v>1633.0</v>
      </c>
      <c r="D14" s="45">
        <v>1633.0</v>
      </c>
      <c r="S14" s="45">
        <v>4990.0</v>
      </c>
      <c r="T14" s="45">
        <v>5444.0</v>
      </c>
      <c r="W14" s="45">
        <v>6805.0</v>
      </c>
      <c r="X14" s="45">
        <v>6805.0</v>
      </c>
      <c r="Y14" s="45">
        <v>6987.0</v>
      </c>
      <c r="AA14" s="45">
        <v>8166.0</v>
      </c>
      <c r="AD14" s="45">
        <v>9074.0</v>
      </c>
      <c r="AF14" s="46">
        <v>9981.0</v>
      </c>
      <c r="AN14" s="36">
        <f>AN57 * AF14/AF57</f>
        <v>27221.3421</v>
      </c>
      <c r="AO14" s="40"/>
      <c r="AR14" s="23">
        <f t="shared" si="2"/>
        <v>5040.989278</v>
      </c>
      <c r="AT14" s="23">
        <f t="shared" si="3"/>
        <v>540.9892784</v>
      </c>
      <c r="AV14" s="43">
        <f t="shared" si="4"/>
        <v>1.078874956</v>
      </c>
    </row>
    <row r="15" ht="12.75" customHeight="1">
      <c r="A15" s="34">
        <v>13.0</v>
      </c>
      <c r="C15" s="41">
        <v>1647.0</v>
      </c>
      <c r="D15" s="41">
        <v>1647.0</v>
      </c>
      <c r="T15" s="45">
        <v>5492.0</v>
      </c>
      <c r="W15" s="45">
        <v>6865.0</v>
      </c>
      <c r="X15" s="41">
        <v>6865.0</v>
      </c>
      <c r="AA15" s="41">
        <v>8238.0</v>
      </c>
      <c r="AD15" s="46">
        <v>9154.0</v>
      </c>
      <c r="AN15" s="36">
        <f>AN57 * AD15/AD57</f>
        <v>27462</v>
      </c>
      <c r="AO15" s="40"/>
      <c r="AR15" s="23">
        <f t="shared" si="2"/>
        <v>5085.555556</v>
      </c>
      <c r="AT15" s="23">
        <f t="shared" si="3"/>
        <v>585.5555556</v>
      </c>
      <c r="AV15" s="43">
        <f t="shared" si="4"/>
        <v>1.082379224</v>
      </c>
    </row>
    <row r="16" ht="12.75" customHeight="1">
      <c r="A16" s="34">
        <v>14.0</v>
      </c>
      <c r="B16" s="41">
        <v>1385.0</v>
      </c>
      <c r="C16" s="45">
        <v>1662.0</v>
      </c>
      <c r="D16" s="41">
        <v>1662.0</v>
      </c>
      <c r="T16" s="45">
        <v>5542.0</v>
      </c>
      <c r="W16" s="45">
        <v>6928.0</v>
      </c>
      <c r="X16" s="41">
        <v>6928.0</v>
      </c>
      <c r="AA16" s="41">
        <v>8314.0</v>
      </c>
      <c r="AD16" s="46">
        <v>9238.0</v>
      </c>
      <c r="AN16" s="36">
        <f>AN57 * AD16/AD57</f>
        <v>27714</v>
      </c>
      <c r="AO16" s="40"/>
      <c r="AR16" s="23">
        <f t="shared" si="2"/>
        <v>5132.222222</v>
      </c>
      <c r="AT16" s="23">
        <f t="shared" si="3"/>
        <v>632.2222222</v>
      </c>
      <c r="AV16" s="43">
        <f t="shared" si="4"/>
        <v>1.079696395</v>
      </c>
    </row>
    <row r="17" ht="12.75" customHeight="1">
      <c r="A17" s="34">
        <v>15.0</v>
      </c>
      <c r="B17" s="41">
        <v>1399.0</v>
      </c>
      <c r="C17" s="41">
        <v>1679.0</v>
      </c>
      <c r="D17" s="41">
        <v>1679.0</v>
      </c>
      <c r="E17" s="41">
        <v>1819.0</v>
      </c>
      <c r="K17" s="61">
        <v>2332.0</v>
      </c>
      <c r="M17" s="41">
        <v>2519.0</v>
      </c>
      <c r="Q17" s="41">
        <v>4198.0</v>
      </c>
      <c r="R17" s="41">
        <v>4665.0</v>
      </c>
      <c r="S17" s="41">
        <v>5131.0</v>
      </c>
      <c r="X17" s="41">
        <v>6997.0</v>
      </c>
      <c r="Y17" s="41">
        <v>7184.0</v>
      </c>
      <c r="AA17" s="41">
        <v>8397.0</v>
      </c>
      <c r="AB17" s="41">
        <v>8379.0</v>
      </c>
      <c r="AC17" s="41">
        <v>8397.0</v>
      </c>
      <c r="AF17" s="41">
        <v>10263.0</v>
      </c>
      <c r="AG17" s="41">
        <v>10263.0</v>
      </c>
      <c r="AI17" s="62">
        <v>11663.0</v>
      </c>
      <c r="AN17" s="36">
        <f>AN$57 * AI17/AI$57</f>
        <v>27991.78775</v>
      </c>
      <c r="AO17" s="40"/>
      <c r="AR17" s="23">
        <f t="shared" si="2"/>
        <v>5183.664399</v>
      </c>
      <c r="AT17" s="23">
        <f t="shared" si="3"/>
        <v>683.6643989</v>
      </c>
      <c r="AV17" s="43">
        <f t="shared" si="4"/>
        <v>1.081367239</v>
      </c>
    </row>
    <row r="18" ht="12.75" customHeight="1">
      <c r="A18" s="34">
        <v>16.0</v>
      </c>
      <c r="B18" s="41">
        <v>1414.0</v>
      </c>
      <c r="C18" s="45">
        <v>1696.0</v>
      </c>
      <c r="D18" s="45">
        <v>1696.0</v>
      </c>
      <c r="E18" s="41">
        <v>1838.0</v>
      </c>
      <c r="F18" s="41">
        <v>1838.0</v>
      </c>
      <c r="G18" s="41">
        <v>1885.0</v>
      </c>
      <c r="H18" s="41">
        <v>1885.0</v>
      </c>
      <c r="K18" s="41">
        <v>2356.0</v>
      </c>
      <c r="L18" s="41">
        <v>2403.0</v>
      </c>
      <c r="M18" s="45">
        <v>2545.0</v>
      </c>
      <c r="O18" s="41">
        <v>2828.0</v>
      </c>
      <c r="Q18" s="45">
        <v>4242.0</v>
      </c>
      <c r="R18" s="45">
        <v>4713.0</v>
      </c>
      <c r="S18" s="45">
        <v>5184.0</v>
      </c>
      <c r="U18" s="41">
        <v>5656.0</v>
      </c>
      <c r="V18" s="41">
        <v>5656.0</v>
      </c>
      <c r="X18" s="45">
        <v>7070.0</v>
      </c>
      <c r="Y18" s="45">
        <v>7258.0</v>
      </c>
      <c r="AA18" s="45">
        <v>8484.0</v>
      </c>
      <c r="AB18" s="45">
        <v>8484.0</v>
      </c>
      <c r="AC18" s="45">
        <v>8484.0</v>
      </c>
      <c r="AE18" s="41">
        <v>9427.0</v>
      </c>
      <c r="AF18" s="45">
        <v>10369.0</v>
      </c>
      <c r="AG18" s="45">
        <v>10369.0</v>
      </c>
      <c r="AI18" s="41">
        <v>11784.0</v>
      </c>
      <c r="AJ18" s="41">
        <v>11784.0</v>
      </c>
      <c r="AL18" s="44">
        <v>16968.0</v>
      </c>
      <c r="AN18" s="36">
        <f>AN62 * AL18/AL62</f>
        <v>28280.30149</v>
      </c>
      <c r="AO18" s="40"/>
      <c r="AR18" s="23">
        <f t="shared" si="2"/>
        <v>5237.092869</v>
      </c>
      <c r="AT18" s="23">
        <f t="shared" si="3"/>
        <v>737.092869</v>
      </c>
      <c r="AV18" s="43">
        <f t="shared" si="4"/>
        <v>1.078150142</v>
      </c>
    </row>
    <row r="19" ht="12.75" customHeight="1">
      <c r="A19" s="34">
        <v>17.0</v>
      </c>
      <c r="B19" s="41">
        <v>1429.0</v>
      </c>
      <c r="C19" s="45">
        <v>1715.0</v>
      </c>
      <c r="D19" s="45">
        <v>1715.0</v>
      </c>
      <c r="E19" s="45">
        <v>1858.0</v>
      </c>
      <c r="F19" s="41">
        <v>1858.0</v>
      </c>
      <c r="G19" s="45">
        <v>1906.0</v>
      </c>
      <c r="K19" s="45">
        <v>2383.0</v>
      </c>
      <c r="L19" s="41">
        <v>2430.0</v>
      </c>
      <c r="M19" s="45">
        <v>2573.0</v>
      </c>
      <c r="N19" s="41">
        <v>2573.0</v>
      </c>
      <c r="O19" s="45">
        <v>2859.0</v>
      </c>
      <c r="P19" s="41">
        <v>3717.0</v>
      </c>
      <c r="Q19" s="45">
        <v>4289.0</v>
      </c>
      <c r="R19" s="41">
        <v>4766.0</v>
      </c>
      <c r="S19" s="45">
        <v>5242.0</v>
      </c>
      <c r="U19" s="45">
        <v>5719.0</v>
      </c>
      <c r="X19" s="45">
        <v>7149.0</v>
      </c>
      <c r="Y19" s="45">
        <v>7339.0</v>
      </c>
      <c r="Z19" s="41">
        <v>7625.0</v>
      </c>
      <c r="AA19" s="45">
        <v>8578.0</v>
      </c>
      <c r="AB19" s="45">
        <v>8578.0</v>
      </c>
      <c r="AC19" s="41">
        <v>8578.0</v>
      </c>
      <c r="AE19" s="45">
        <v>9532.0</v>
      </c>
      <c r="AF19" s="45">
        <v>10485.0</v>
      </c>
      <c r="AG19" s="41">
        <v>10485.0</v>
      </c>
      <c r="AI19" s="45">
        <v>11915.0</v>
      </c>
      <c r="AJ19" s="41">
        <v>11915.0</v>
      </c>
      <c r="AL19" s="44">
        <v>17157.0</v>
      </c>
      <c r="AN19" s="36">
        <f>AN62 * AL19/AL62</f>
        <v>28595.30485</v>
      </c>
      <c r="AO19" s="40"/>
      <c r="AR19" s="23">
        <f t="shared" si="2"/>
        <v>5295.426824</v>
      </c>
      <c r="AT19" s="23">
        <f t="shared" si="3"/>
        <v>795.4268242</v>
      </c>
      <c r="AV19" s="43">
        <f t="shared" si="4"/>
        <v>1.079140577</v>
      </c>
    </row>
    <row r="20" ht="12.75" customHeight="1">
      <c r="A20" s="34">
        <v>18.0</v>
      </c>
      <c r="B20" s="41">
        <v>1446.0</v>
      </c>
      <c r="C20" s="41">
        <v>1736.0</v>
      </c>
      <c r="D20" s="41">
        <v>1736.0</v>
      </c>
      <c r="E20" s="45">
        <v>1880.0</v>
      </c>
      <c r="F20" s="41">
        <v>1880.0</v>
      </c>
      <c r="G20" s="41">
        <v>1929.0</v>
      </c>
      <c r="J20" s="41">
        <v>2411.0</v>
      </c>
      <c r="K20" s="41">
        <v>2411.0</v>
      </c>
      <c r="L20" s="45">
        <v>2459.0</v>
      </c>
      <c r="M20" s="41">
        <v>2604.0</v>
      </c>
      <c r="N20" s="45">
        <v>2604.0</v>
      </c>
      <c r="O20" s="41">
        <v>2893.0</v>
      </c>
      <c r="P20" s="45">
        <v>3761.0</v>
      </c>
      <c r="Q20" s="45">
        <v>4340.0</v>
      </c>
      <c r="R20" s="41">
        <v>4822.0</v>
      </c>
      <c r="S20" s="41">
        <v>5305.0</v>
      </c>
      <c r="T20" s="41">
        <v>5787.0</v>
      </c>
      <c r="U20" s="45">
        <v>5787.0</v>
      </c>
      <c r="W20" s="41">
        <v>7234.0</v>
      </c>
      <c r="X20" s="41">
        <v>7234.0</v>
      </c>
      <c r="Y20" s="41">
        <v>7427.0</v>
      </c>
      <c r="Z20" s="45">
        <v>7716.0</v>
      </c>
      <c r="AA20" s="41">
        <v>8681.0</v>
      </c>
      <c r="AB20" s="45">
        <v>8681.0</v>
      </c>
      <c r="AC20" s="41">
        <v>8681.0</v>
      </c>
      <c r="AD20" s="41">
        <v>9645.0</v>
      </c>
      <c r="AE20" s="45">
        <v>9645.0</v>
      </c>
      <c r="AF20" s="41">
        <v>10610.0</v>
      </c>
      <c r="AG20" s="41">
        <v>10610.0</v>
      </c>
      <c r="AI20" s="41">
        <v>12057.0</v>
      </c>
      <c r="AJ20" s="45">
        <v>12057.0</v>
      </c>
      <c r="AL20" s="45">
        <v>17362.0</v>
      </c>
      <c r="AN20" s="41">
        <v>28936.0</v>
      </c>
      <c r="AO20" s="40"/>
      <c r="AR20" s="23">
        <f t="shared" si="2"/>
        <v>5358.518519</v>
      </c>
      <c r="AT20" s="23">
        <f t="shared" si="3"/>
        <v>858.5185185</v>
      </c>
      <c r="AV20" s="43">
        <f t="shared" si="4"/>
        <v>1.079318037</v>
      </c>
    </row>
    <row r="21" ht="12.75" customHeight="1">
      <c r="A21" s="34">
        <v>19.0</v>
      </c>
      <c r="B21" s="45">
        <v>1465.0</v>
      </c>
      <c r="C21" s="41">
        <v>1758.0</v>
      </c>
      <c r="D21" s="45">
        <v>1758.0</v>
      </c>
      <c r="E21" s="71">
        <v>1904.0</v>
      </c>
      <c r="F21" s="41">
        <v>1904.0</v>
      </c>
      <c r="G21" s="45">
        <v>1953.0</v>
      </c>
      <c r="H21" s="41">
        <v>1953.0</v>
      </c>
      <c r="J21" s="45">
        <v>2441.0</v>
      </c>
      <c r="K21" s="41">
        <v>2441.0</v>
      </c>
      <c r="L21" s="41">
        <v>2490.0</v>
      </c>
      <c r="M21" s="45">
        <v>2637.0</v>
      </c>
      <c r="N21" s="41">
        <v>2637.0</v>
      </c>
      <c r="O21" s="45">
        <v>2930.0</v>
      </c>
      <c r="P21" s="41">
        <v>3809.0</v>
      </c>
      <c r="Q21" s="45">
        <v>4395.0</v>
      </c>
      <c r="R21" s="41">
        <v>4883.0</v>
      </c>
      <c r="S21" s="45">
        <v>5372.0</v>
      </c>
      <c r="T21" s="45">
        <v>5860.0</v>
      </c>
      <c r="U21" s="45">
        <v>5860.0</v>
      </c>
      <c r="V21" s="41">
        <v>5860.0</v>
      </c>
      <c r="W21" s="45">
        <v>7325.0</v>
      </c>
      <c r="X21" s="45">
        <v>7325.0</v>
      </c>
      <c r="Y21" s="45">
        <v>7520.0</v>
      </c>
      <c r="Z21" s="45">
        <v>7813.0</v>
      </c>
      <c r="AA21" s="45">
        <v>8790.0</v>
      </c>
      <c r="AB21" s="45">
        <v>8790.0</v>
      </c>
      <c r="AC21" s="41">
        <v>8790.0</v>
      </c>
      <c r="AD21" s="45">
        <v>9767.0</v>
      </c>
      <c r="AE21" s="45">
        <v>9767.0</v>
      </c>
      <c r="AF21" s="45">
        <v>10744.0</v>
      </c>
      <c r="AG21" s="41">
        <v>10744.0</v>
      </c>
      <c r="AI21" s="41">
        <v>12209.0</v>
      </c>
      <c r="AJ21" s="41">
        <v>12209.0</v>
      </c>
      <c r="AL21" s="41">
        <v>17581.0</v>
      </c>
      <c r="AN21" s="45">
        <v>29302.0</v>
      </c>
      <c r="AO21" s="40"/>
      <c r="AR21" s="23">
        <f t="shared" si="2"/>
        <v>5426.296296</v>
      </c>
      <c r="AT21" s="23">
        <f t="shared" si="3"/>
        <v>926.2962963</v>
      </c>
      <c r="AV21" s="43">
        <f t="shared" si="4"/>
        <v>1.078947368</v>
      </c>
    </row>
    <row r="22" ht="12.75" customHeight="1">
      <c r="A22" s="34">
        <v>20.0</v>
      </c>
      <c r="B22" s="45">
        <v>1485.0</v>
      </c>
      <c r="C22" s="45">
        <v>1782.0</v>
      </c>
      <c r="D22" s="41">
        <v>1782.0</v>
      </c>
      <c r="E22" s="41">
        <v>1930.0</v>
      </c>
      <c r="F22" s="41">
        <v>1930.0</v>
      </c>
      <c r="G22" s="45">
        <v>1980.0</v>
      </c>
      <c r="J22" s="45">
        <v>2475.0</v>
      </c>
      <c r="K22" s="45">
        <v>2475.0</v>
      </c>
      <c r="L22" s="45">
        <v>2524.0</v>
      </c>
      <c r="M22" s="45">
        <v>2673.0</v>
      </c>
      <c r="N22" s="45">
        <v>2673.0</v>
      </c>
      <c r="O22" s="45">
        <v>2970.0</v>
      </c>
      <c r="P22" s="45">
        <v>3861.0</v>
      </c>
      <c r="Q22" s="41">
        <v>4455.0</v>
      </c>
      <c r="R22" s="45">
        <v>4950.0</v>
      </c>
      <c r="S22" s="45">
        <v>5445.0</v>
      </c>
      <c r="T22" s="45">
        <v>5941.0</v>
      </c>
      <c r="U22" s="41">
        <v>5941.0</v>
      </c>
      <c r="W22" s="45">
        <v>7426.0</v>
      </c>
      <c r="X22" s="41">
        <v>7426.0</v>
      </c>
      <c r="Y22" s="45">
        <v>7624.0</v>
      </c>
      <c r="Z22" s="41">
        <v>7921.0</v>
      </c>
      <c r="AA22" s="41">
        <v>8911.0</v>
      </c>
      <c r="AB22" s="41">
        <v>8911.0</v>
      </c>
      <c r="AC22" s="45">
        <v>8911.0</v>
      </c>
      <c r="AD22" s="45">
        <v>9901.0</v>
      </c>
      <c r="AE22" s="41">
        <v>9901.0</v>
      </c>
      <c r="AF22" s="45">
        <v>10891.0</v>
      </c>
      <c r="AG22" s="45">
        <v>10891.0</v>
      </c>
      <c r="AH22" s="41">
        <v>11882.0</v>
      </c>
      <c r="AI22" s="45">
        <v>12377.0</v>
      </c>
      <c r="AJ22" s="45">
        <v>12377.0</v>
      </c>
      <c r="AK22" s="41">
        <v>17823.0</v>
      </c>
      <c r="AL22" s="45">
        <v>17823.0</v>
      </c>
      <c r="AM22" s="41">
        <v>29705.0</v>
      </c>
      <c r="AN22" s="45">
        <v>29705.0</v>
      </c>
      <c r="AO22" s="40"/>
      <c r="AR22" s="23">
        <f t="shared" si="2"/>
        <v>5500.925926</v>
      </c>
      <c r="AT22" s="23">
        <f t="shared" si="3"/>
        <v>1000.925926</v>
      </c>
      <c r="AV22" s="43">
        <f t="shared" si="4"/>
        <v>1.080567773</v>
      </c>
    </row>
    <row r="23" ht="12.75" customHeight="1">
      <c r="A23" s="34">
        <v>21.0</v>
      </c>
      <c r="B23" s="45">
        <v>1506.0</v>
      </c>
      <c r="C23" s="45">
        <v>1808.0</v>
      </c>
      <c r="D23" s="45">
        <v>1808.0</v>
      </c>
      <c r="E23" s="45">
        <v>1958.0</v>
      </c>
      <c r="F23" s="41">
        <v>1958.0</v>
      </c>
      <c r="G23" s="41">
        <v>2008.0</v>
      </c>
      <c r="J23" s="45">
        <v>2511.0</v>
      </c>
      <c r="K23" s="45">
        <v>2511.0</v>
      </c>
      <c r="L23" s="45">
        <v>2561.0</v>
      </c>
      <c r="M23" s="45">
        <v>2712.0</v>
      </c>
      <c r="N23" s="45">
        <v>2712.0</v>
      </c>
      <c r="O23" s="41">
        <v>3013.0</v>
      </c>
      <c r="P23" s="45">
        <v>3917.0</v>
      </c>
      <c r="Q23" s="45">
        <v>4520.0</v>
      </c>
      <c r="R23" s="45">
        <v>5022.0</v>
      </c>
      <c r="S23" s="45">
        <v>5524.0</v>
      </c>
      <c r="T23" s="45">
        <v>6026.0</v>
      </c>
      <c r="U23" s="45">
        <v>6026.0</v>
      </c>
      <c r="W23" s="45">
        <v>7533.0</v>
      </c>
      <c r="X23" s="45">
        <v>7533.0</v>
      </c>
      <c r="Y23" s="45">
        <v>7734.0</v>
      </c>
      <c r="Z23" s="45">
        <v>8035.0</v>
      </c>
      <c r="AA23" s="45">
        <v>9040.0</v>
      </c>
      <c r="AB23" s="45">
        <v>9040.0</v>
      </c>
      <c r="AC23" s="45">
        <v>9040.0</v>
      </c>
      <c r="AD23" s="45">
        <v>10044.0</v>
      </c>
      <c r="AE23" s="45">
        <v>10044.0</v>
      </c>
      <c r="AF23" s="45">
        <v>11049.0</v>
      </c>
      <c r="AG23" s="45">
        <v>11049.0</v>
      </c>
      <c r="AH23" s="45">
        <v>12053.0</v>
      </c>
      <c r="AI23" s="45">
        <v>12555.0</v>
      </c>
      <c r="AJ23" s="45">
        <v>12555.0</v>
      </c>
      <c r="AK23" s="45">
        <v>18080.0</v>
      </c>
      <c r="AL23" s="45">
        <v>18080.0</v>
      </c>
      <c r="AM23" s="45">
        <v>30133.0</v>
      </c>
      <c r="AN23" s="45">
        <v>30133.0</v>
      </c>
      <c r="AO23" s="40"/>
      <c r="AR23" s="23">
        <f t="shared" si="2"/>
        <v>5580.185185</v>
      </c>
      <c r="AT23" s="23">
        <f t="shared" si="3"/>
        <v>1080.185185</v>
      </c>
      <c r="AV23" s="43">
        <f t="shared" si="4"/>
        <v>1.079185939</v>
      </c>
    </row>
    <row r="24" ht="12.75" customHeight="1">
      <c r="A24" s="34">
        <v>22.0</v>
      </c>
      <c r="B24" s="45">
        <v>1530.0</v>
      </c>
      <c r="C24" s="41">
        <v>1836.0</v>
      </c>
      <c r="D24" s="45">
        <v>1836.0</v>
      </c>
      <c r="E24" s="45">
        <v>1989.0</v>
      </c>
      <c r="F24" s="45">
        <v>1989.0</v>
      </c>
      <c r="G24" s="45">
        <v>2040.0</v>
      </c>
      <c r="J24" s="41">
        <v>2550.0</v>
      </c>
      <c r="K24" s="45">
        <v>2550.0</v>
      </c>
      <c r="L24" s="45">
        <v>2601.0</v>
      </c>
      <c r="M24" s="41">
        <v>2754.0</v>
      </c>
      <c r="N24" s="41">
        <v>2754.0</v>
      </c>
      <c r="O24" s="45">
        <v>3060.0</v>
      </c>
      <c r="P24" s="41">
        <v>3978.0</v>
      </c>
      <c r="Q24" s="45">
        <v>4590.0</v>
      </c>
      <c r="R24" s="45">
        <v>5100.0</v>
      </c>
      <c r="S24" s="45">
        <v>5610.0</v>
      </c>
      <c r="T24" s="41">
        <v>6120.0</v>
      </c>
      <c r="U24" s="45">
        <v>6120.0</v>
      </c>
      <c r="W24" s="41">
        <v>7650.0</v>
      </c>
      <c r="X24" s="45">
        <v>7650.0</v>
      </c>
      <c r="Y24" s="45">
        <v>7854.0</v>
      </c>
      <c r="Z24" s="45">
        <v>8160.0</v>
      </c>
      <c r="AA24" s="45">
        <v>9180.0</v>
      </c>
      <c r="AB24" s="45">
        <v>9180.0</v>
      </c>
      <c r="AC24" s="45">
        <v>9180.0</v>
      </c>
      <c r="AD24" s="41">
        <v>10200.0</v>
      </c>
      <c r="AE24" s="45">
        <v>10200.0</v>
      </c>
      <c r="AF24" s="45">
        <v>11220.0</v>
      </c>
      <c r="AG24" s="45">
        <v>11220.0</v>
      </c>
      <c r="AH24" s="45">
        <v>12240.0</v>
      </c>
      <c r="AI24" s="45">
        <v>12750.0</v>
      </c>
      <c r="AJ24" s="45">
        <v>12750.0</v>
      </c>
      <c r="AK24" s="45">
        <v>18360.0</v>
      </c>
      <c r="AL24" s="45">
        <v>18360.0</v>
      </c>
      <c r="AM24" s="45">
        <v>30600.0</v>
      </c>
      <c r="AN24" s="41">
        <v>30600.0</v>
      </c>
      <c r="AO24" s="40"/>
      <c r="AR24" s="23">
        <f t="shared" si="2"/>
        <v>5666.666667</v>
      </c>
      <c r="AT24" s="23">
        <f t="shared" si="3"/>
        <v>1166.666667</v>
      </c>
      <c r="AV24" s="43">
        <f t="shared" si="4"/>
        <v>1.080061718</v>
      </c>
    </row>
    <row r="25" ht="12.75" customHeight="1">
      <c r="A25" s="34">
        <v>23.0</v>
      </c>
      <c r="B25" s="45">
        <v>1555.0</v>
      </c>
      <c r="C25" s="41">
        <v>1866.0</v>
      </c>
      <c r="D25" s="45">
        <v>1866.0</v>
      </c>
      <c r="E25" s="45">
        <v>2021.0</v>
      </c>
      <c r="F25" s="41">
        <v>2021.0</v>
      </c>
      <c r="G25" s="41">
        <v>2073.0</v>
      </c>
      <c r="J25" s="45">
        <v>2592.0</v>
      </c>
      <c r="K25" s="45">
        <v>2592.0</v>
      </c>
      <c r="L25" s="45">
        <v>2643.0</v>
      </c>
      <c r="M25" s="45">
        <v>2799.0</v>
      </c>
      <c r="N25" s="45">
        <v>2799.0</v>
      </c>
      <c r="O25" s="41">
        <v>3110.0</v>
      </c>
      <c r="P25" s="45">
        <v>4043.0</v>
      </c>
      <c r="Q25" s="45">
        <v>4665.0</v>
      </c>
      <c r="R25" s="45">
        <v>5184.0</v>
      </c>
      <c r="S25" s="45">
        <v>5702.0</v>
      </c>
      <c r="T25" s="45">
        <v>6220.0</v>
      </c>
      <c r="U25" s="45">
        <v>6220.0</v>
      </c>
      <c r="W25" s="45">
        <v>7776.0</v>
      </c>
      <c r="X25" s="45">
        <v>7776.0</v>
      </c>
      <c r="Y25" s="45">
        <v>7983.0</v>
      </c>
      <c r="Z25" s="45">
        <v>8294.0</v>
      </c>
      <c r="AA25" s="45">
        <v>9331.0</v>
      </c>
      <c r="AB25" s="45">
        <v>9331.0</v>
      </c>
      <c r="AC25" s="45">
        <v>9331.0</v>
      </c>
      <c r="AD25" s="45">
        <v>10368.0</v>
      </c>
      <c r="AE25" s="45">
        <v>10368.0</v>
      </c>
      <c r="AF25" s="45">
        <v>11404.0</v>
      </c>
      <c r="AG25" s="45">
        <v>11404.0</v>
      </c>
      <c r="AH25" s="45">
        <v>12441.0</v>
      </c>
      <c r="AI25" s="45">
        <v>12960.0</v>
      </c>
      <c r="AJ25" s="45">
        <v>12960.0</v>
      </c>
      <c r="AK25" s="45">
        <v>18662.0</v>
      </c>
      <c r="AL25" s="45">
        <v>18662.0</v>
      </c>
      <c r="AM25" s="45">
        <v>31104.0</v>
      </c>
      <c r="AN25" s="45">
        <v>31104.0</v>
      </c>
      <c r="AO25" s="40"/>
      <c r="AR25" s="23">
        <f t="shared" si="2"/>
        <v>5760</v>
      </c>
      <c r="AT25" s="23">
        <f t="shared" si="3"/>
        <v>1260</v>
      </c>
      <c r="AV25" s="43">
        <f t="shared" si="4"/>
        <v>1.08</v>
      </c>
    </row>
    <row r="26" ht="12.75" customHeight="1">
      <c r="A26" s="34">
        <v>24.0</v>
      </c>
      <c r="B26" s="41">
        <v>1582.0</v>
      </c>
      <c r="C26" s="45">
        <v>1898.0</v>
      </c>
      <c r="D26" s="45">
        <v>1898.0</v>
      </c>
      <c r="E26" s="41">
        <v>2056.0</v>
      </c>
      <c r="F26" s="45">
        <v>2056.0</v>
      </c>
      <c r="G26" s="41">
        <v>2109.0</v>
      </c>
      <c r="H26" s="41">
        <v>2109.0</v>
      </c>
      <c r="J26" s="41">
        <v>2637.0</v>
      </c>
      <c r="K26" s="41">
        <v>2637.0</v>
      </c>
      <c r="L26" s="45">
        <v>2689.0</v>
      </c>
      <c r="M26" s="41">
        <v>2848.0</v>
      </c>
      <c r="N26" s="45">
        <v>2848.0</v>
      </c>
      <c r="O26" s="41">
        <v>3164.0</v>
      </c>
      <c r="P26" s="45">
        <v>4113.0</v>
      </c>
      <c r="Q26" s="45">
        <v>4746.0</v>
      </c>
      <c r="R26" s="45">
        <v>5274.0</v>
      </c>
      <c r="T26" s="45">
        <v>6329.0</v>
      </c>
      <c r="U26" s="45">
        <v>6329.0</v>
      </c>
      <c r="V26" s="41">
        <v>6329.0</v>
      </c>
      <c r="W26" s="45">
        <v>7911.0</v>
      </c>
      <c r="X26" s="45">
        <v>7911.0</v>
      </c>
      <c r="Z26" s="41">
        <v>8438.0</v>
      </c>
      <c r="AA26" s="45">
        <v>9493.0</v>
      </c>
      <c r="AB26" s="45">
        <v>9493.0</v>
      </c>
      <c r="AC26" s="45">
        <v>9493.0</v>
      </c>
      <c r="AD26" s="45">
        <v>10548.0</v>
      </c>
      <c r="AE26" s="45">
        <v>10548.0</v>
      </c>
      <c r="AG26" s="45">
        <v>11603.0</v>
      </c>
      <c r="AH26" s="45">
        <v>12658.0</v>
      </c>
      <c r="AI26" s="41">
        <v>13185.0</v>
      </c>
      <c r="AJ26" s="45">
        <v>13185.0</v>
      </c>
      <c r="AK26" s="45">
        <v>18987.0</v>
      </c>
      <c r="AL26" s="45">
        <v>18987.0</v>
      </c>
      <c r="AM26" s="45">
        <v>31645.0</v>
      </c>
      <c r="AN26" s="41">
        <v>31645.0</v>
      </c>
      <c r="AO26" s="40"/>
      <c r="AR26" s="23">
        <f t="shared" si="2"/>
        <v>5860.185185</v>
      </c>
      <c r="AT26" s="23">
        <f t="shared" si="3"/>
        <v>1360.185185</v>
      </c>
      <c r="AV26" s="43">
        <f t="shared" si="4"/>
        <v>1.079512052</v>
      </c>
    </row>
    <row r="27" ht="12.75" customHeight="1">
      <c r="A27" s="34">
        <v>25.0</v>
      </c>
      <c r="B27" s="45">
        <v>1611.0</v>
      </c>
      <c r="C27" s="41">
        <v>1934.0</v>
      </c>
      <c r="D27" s="41">
        <v>1934.0</v>
      </c>
      <c r="E27" s="41">
        <v>2095.0</v>
      </c>
      <c r="F27" s="45">
        <v>2095.0</v>
      </c>
      <c r="G27" s="45">
        <v>2149.0</v>
      </c>
      <c r="H27" s="41">
        <v>2149.0</v>
      </c>
      <c r="J27" s="45">
        <v>2686.0</v>
      </c>
      <c r="K27" s="45">
        <v>2686.0</v>
      </c>
      <c r="M27" s="45">
        <v>2901.0</v>
      </c>
      <c r="N27" s="41">
        <v>2901.0</v>
      </c>
      <c r="O27" s="45">
        <v>3223.0</v>
      </c>
      <c r="P27" s="41">
        <v>4190.0</v>
      </c>
      <c r="Q27" s="45">
        <v>4835.0</v>
      </c>
      <c r="S27" s="41">
        <v>5910.0</v>
      </c>
      <c r="T27" s="41">
        <v>6447.0</v>
      </c>
      <c r="U27" s="45">
        <v>6447.0</v>
      </c>
      <c r="V27" s="41">
        <v>6447.0</v>
      </c>
      <c r="W27" s="41">
        <v>8059.0</v>
      </c>
      <c r="X27" s="41">
        <v>8059.0</v>
      </c>
      <c r="Y27" s="41">
        <v>8274.0</v>
      </c>
      <c r="Z27" s="41">
        <v>8596.0</v>
      </c>
      <c r="AA27" s="41">
        <v>9671.0</v>
      </c>
      <c r="AB27" s="45">
        <v>9671.0</v>
      </c>
      <c r="AD27" s="41">
        <v>10746.0</v>
      </c>
      <c r="AE27" s="45">
        <v>10746.0</v>
      </c>
      <c r="AF27" s="41">
        <v>11820.0</v>
      </c>
      <c r="AH27" s="41">
        <v>12895.0</v>
      </c>
      <c r="AI27" s="45">
        <v>13432.0</v>
      </c>
      <c r="AK27" s="41">
        <v>19342.0</v>
      </c>
      <c r="AM27" s="41">
        <v>32238.0</v>
      </c>
      <c r="AN27" s="45">
        <v>32238.0</v>
      </c>
      <c r="AO27" s="40"/>
      <c r="AR27" s="23">
        <f t="shared" si="2"/>
        <v>5970</v>
      </c>
      <c r="AT27" s="23">
        <f t="shared" si="3"/>
        <v>1470</v>
      </c>
      <c r="AV27" s="43">
        <f t="shared" si="4"/>
        <v>1.080735194</v>
      </c>
    </row>
    <row r="28" ht="12.75" customHeight="1">
      <c r="A28" s="34">
        <v>26.0</v>
      </c>
      <c r="B28" s="41">
        <v>1643.0</v>
      </c>
      <c r="C28" s="41">
        <v>1972.0</v>
      </c>
      <c r="D28" s="45">
        <v>1972.0</v>
      </c>
      <c r="E28" s="45">
        <v>2136.0</v>
      </c>
      <c r="F28" s="41">
        <v>2136.0</v>
      </c>
      <c r="G28" s="41">
        <v>2191.0</v>
      </c>
      <c r="H28" s="41">
        <v>2191.0</v>
      </c>
      <c r="J28" s="45">
        <v>2739.0</v>
      </c>
      <c r="K28" s="45">
        <v>2739.0</v>
      </c>
      <c r="L28" s="41">
        <v>2793.0</v>
      </c>
      <c r="M28" s="45">
        <v>2958.0</v>
      </c>
      <c r="N28" s="45">
        <v>2958.0</v>
      </c>
      <c r="O28" s="41">
        <v>3286.0</v>
      </c>
      <c r="P28" s="45">
        <v>4272.0</v>
      </c>
      <c r="S28" s="45">
        <v>6025.0</v>
      </c>
      <c r="T28" s="41">
        <v>6573.0</v>
      </c>
      <c r="V28" s="41">
        <v>6573.0</v>
      </c>
      <c r="W28" s="41">
        <v>8217.0</v>
      </c>
      <c r="X28" s="45">
        <v>8217.0</v>
      </c>
      <c r="Y28" s="45">
        <v>8436.0</v>
      </c>
      <c r="Z28" s="45">
        <v>8764.0</v>
      </c>
      <c r="AA28" s="45">
        <v>9860.0</v>
      </c>
      <c r="AD28" s="41">
        <v>10956.0</v>
      </c>
      <c r="AF28" s="45">
        <v>12051.0</v>
      </c>
      <c r="AH28" s="45">
        <v>13147.0</v>
      </c>
      <c r="AI28" s="45">
        <v>13695.0</v>
      </c>
      <c r="AJ28" s="41">
        <v>13695.0</v>
      </c>
      <c r="AK28" s="45">
        <v>19720.0</v>
      </c>
      <c r="AL28" s="41">
        <v>19720.0</v>
      </c>
      <c r="AM28" s="45">
        <v>32868.0</v>
      </c>
      <c r="AN28" s="45">
        <v>32868.0</v>
      </c>
      <c r="AO28" s="40"/>
      <c r="AR28" s="23">
        <f t="shared" si="2"/>
        <v>6086.666667</v>
      </c>
      <c r="AT28" s="23">
        <f t="shared" si="3"/>
        <v>1586.666667</v>
      </c>
      <c r="AV28" s="43">
        <f t="shared" si="4"/>
        <v>1.079365079</v>
      </c>
    </row>
    <row r="29" ht="12.75" customHeight="1">
      <c r="A29" s="34">
        <v>27.0</v>
      </c>
      <c r="B29" s="41">
        <v>1677.0</v>
      </c>
      <c r="C29" s="45">
        <v>2012.0</v>
      </c>
      <c r="D29" s="45">
        <v>2012.0</v>
      </c>
      <c r="E29" s="41">
        <v>2180.0</v>
      </c>
      <c r="F29" s="45">
        <v>2180.0</v>
      </c>
      <c r="G29" s="41">
        <v>2236.0</v>
      </c>
      <c r="J29" s="45">
        <v>2795.0</v>
      </c>
      <c r="K29" s="45">
        <v>2795.0</v>
      </c>
      <c r="L29" s="45">
        <v>2851.0</v>
      </c>
      <c r="M29" s="45">
        <v>3019.0</v>
      </c>
      <c r="N29" s="41">
        <v>3019.0</v>
      </c>
      <c r="O29" s="41">
        <v>3354.0</v>
      </c>
      <c r="P29" s="41">
        <v>4361.0</v>
      </c>
      <c r="S29" s="41">
        <v>6150.0</v>
      </c>
      <c r="T29" s="41">
        <v>6709.0</v>
      </c>
      <c r="W29" s="41">
        <v>8387.0</v>
      </c>
      <c r="X29" s="45">
        <v>8387.0</v>
      </c>
      <c r="Y29" s="41">
        <v>8610.0</v>
      </c>
      <c r="Z29" s="45">
        <v>8946.0</v>
      </c>
      <c r="AA29" s="45">
        <v>10064.0</v>
      </c>
      <c r="AD29" s="41">
        <v>11182.0</v>
      </c>
      <c r="AF29" s="41">
        <v>12301.0</v>
      </c>
      <c r="AH29" s="41">
        <v>13419.0</v>
      </c>
      <c r="AI29" s="45">
        <v>13978.0</v>
      </c>
      <c r="AJ29" s="45">
        <v>13978.0</v>
      </c>
      <c r="AK29" s="41">
        <v>20129.0</v>
      </c>
      <c r="AL29" s="45">
        <v>20129.0</v>
      </c>
      <c r="AM29" s="41">
        <v>33548.0</v>
      </c>
      <c r="AN29" s="45">
        <v>33548.0</v>
      </c>
      <c r="AO29" s="40"/>
      <c r="AR29" s="23">
        <f t="shared" si="2"/>
        <v>6212.592593</v>
      </c>
      <c r="AT29" s="23">
        <f t="shared" si="3"/>
        <v>1712.592593</v>
      </c>
      <c r="AV29" s="43">
        <f t="shared" si="4"/>
        <v>1.079365079</v>
      </c>
    </row>
    <row r="30" ht="12.75" customHeight="1">
      <c r="A30" s="34">
        <v>28.0</v>
      </c>
      <c r="B30" s="45">
        <v>1714.0</v>
      </c>
      <c r="C30" s="41">
        <v>2057.0</v>
      </c>
      <c r="D30" s="41">
        <v>2057.0</v>
      </c>
      <c r="E30" s="45">
        <v>2228.0</v>
      </c>
      <c r="F30" s="45">
        <v>2228.0</v>
      </c>
      <c r="G30" s="45">
        <v>2286.0</v>
      </c>
      <c r="J30" s="41">
        <v>2857.0</v>
      </c>
      <c r="K30" s="45">
        <v>2857.0</v>
      </c>
      <c r="L30" s="41">
        <v>2914.0</v>
      </c>
      <c r="M30" s="45">
        <v>3086.0</v>
      </c>
      <c r="N30" s="45">
        <v>3086.0</v>
      </c>
      <c r="O30" s="45">
        <v>3429.0</v>
      </c>
      <c r="P30" s="45">
        <v>4457.0</v>
      </c>
      <c r="Q30" s="41">
        <v>5143.0</v>
      </c>
      <c r="S30" s="45">
        <v>6286.0</v>
      </c>
      <c r="T30" s="41">
        <v>6858.0</v>
      </c>
      <c r="U30" s="41">
        <v>6858.0</v>
      </c>
      <c r="W30" s="41">
        <v>8572.0</v>
      </c>
      <c r="X30" s="41">
        <v>8572.0</v>
      </c>
      <c r="Y30" s="45">
        <v>8801.0</v>
      </c>
      <c r="Z30" s="45">
        <v>9144.0</v>
      </c>
      <c r="AA30" s="41">
        <v>10287.0</v>
      </c>
      <c r="AB30" s="41">
        <v>10287.0</v>
      </c>
      <c r="AD30" s="41">
        <v>11430.0</v>
      </c>
      <c r="AE30" s="41">
        <v>11430.0</v>
      </c>
      <c r="AF30" s="45">
        <v>12573.0</v>
      </c>
      <c r="AH30" s="45">
        <v>13716.0</v>
      </c>
      <c r="AI30" s="45">
        <v>14288.0</v>
      </c>
      <c r="AJ30" s="41">
        <v>14288.0</v>
      </c>
      <c r="AK30" s="45">
        <v>20575.0</v>
      </c>
      <c r="AL30" s="41">
        <v>20575.0</v>
      </c>
      <c r="AM30" s="45">
        <v>34291.0</v>
      </c>
      <c r="AN30" s="41">
        <v>34291.0</v>
      </c>
      <c r="AO30" s="40"/>
      <c r="AR30" s="23">
        <f t="shared" si="2"/>
        <v>6350.185185</v>
      </c>
      <c r="AT30" s="23">
        <f t="shared" si="3"/>
        <v>1850.185185</v>
      </c>
      <c r="AV30" s="43">
        <f t="shared" si="4"/>
        <v>1.080341696</v>
      </c>
    </row>
    <row r="31" ht="12.75" customHeight="1">
      <c r="A31" s="34">
        <v>29.0</v>
      </c>
      <c r="B31" s="45">
        <v>1754.0</v>
      </c>
      <c r="C31" s="45">
        <v>2105.0</v>
      </c>
      <c r="D31" s="45">
        <v>2105.0</v>
      </c>
      <c r="E31" s="45">
        <v>2280.0</v>
      </c>
      <c r="F31" s="45">
        <v>2280.0</v>
      </c>
      <c r="G31" s="45">
        <v>2339.0</v>
      </c>
      <c r="I31" s="41">
        <v>2631.0</v>
      </c>
      <c r="J31" s="45">
        <v>2923.0</v>
      </c>
      <c r="K31" s="41">
        <v>2923.0</v>
      </c>
      <c r="L31" s="41">
        <v>2982.0</v>
      </c>
      <c r="M31" s="45">
        <v>3157.0</v>
      </c>
      <c r="N31" s="45">
        <v>3157.0</v>
      </c>
      <c r="O31" s="45">
        <v>3508.0</v>
      </c>
      <c r="P31" s="45">
        <v>4561.0</v>
      </c>
      <c r="Q31" s="45">
        <v>5262.0</v>
      </c>
      <c r="R31" s="41">
        <v>5847.0</v>
      </c>
      <c r="S31" s="41">
        <v>6432.0</v>
      </c>
      <c r="T31" s="41">
        <v>7017.0</v>
      </c>
      <c r="U31" s="45">
        <v>7017.0</v>
      </c>
      <c r="W31" s="41">
        <v>8771.0</v>
      </c>
      <c r="X31" s="45">
        <v>8771.0</v>
      </c>
      <c r="Y31" s="41">
        <v>9005.0</v>
      </c>
      <c r="Z31" s="45">
        <v>9356.0</v>
      </c>
      <c r="AA31" s="45">
        <v>10525.0</v>
      </c>
      <c r="AB31" s="45">
        <v>10525.0</v>
      </c>
      <c r="AC31" s="41">
        <v>10525.0</v>
      </c>
      <c r="AD31" s="41">
        <v>11695.0</v>
      </c>
      <c r="AE31" s="45">
        <v>11695.0</v>
      </c>
      <c r="AF31" s="41">
        <v>12864.0</v>
      </c>
      <c r="AG31" s="41">
        <v>12864.0</v>
      </c>
      <c r="AH31" s="45">
        <v>14034.0</v>
      </c>
      <c r="AI31" s="41">
        <v>14619.0</v>
      </c>
      <c r="AJ31" s="41">
        <v>14619.0</v>
      </c>
      <c r="AK31" s="45">
        <v>21051.0</v>
      </c>
      <c r="AL31" s="41">
        <v>21051.0</v>
      </c>
      <c r="AM31" s="45">
        <v>35085.0</v>
      </c>
      <c r="AN31" s="45">
        <v>35085.0</v>
      </c>
      <c r="AO31" s="40"/>
      <c r="AR31" s="23">
        <f t="shared" si="2"/>
        <v>6497.222222</v>
      </c>
      <c r="AT31" s="23">
        <f t="shared" si="3"/>
        <v>1997.222222</v>
      </c>
      <c r="AV31" s="43">
        <f t="shared" si="4"/>
        <v>1.079471524</v>
      </c>
    </row>
    <row r="32" ht="12.75" customHeight="1">
      <c r="A32" s="34">
        <v>30.0</v>
      </c>
      <c r="B32" s="41">
        <v>1797.0</v>
      </c>
      <c r="C32" s="41">
        <v>2156.0</v>
      </c>
      <c r="D32" s="41">
        <v>2156.0</v>
      </c>
      <c r="E32" s="45">
        <v>2336.0</v>
      </c>
      <c r="F32" s="41">
        <v>2336.0</v>
      </c>
      <c r="G32" s="45">
        <v>2396.0</v>
      </c>
      <c r="I32" s="45">
        <v>2695.0</v>
      </c>
      <c r="J32" s="45">
        <v>2995.0</v>
      </c>
      <c r="K32" s="45">
        <v>2995.0</v>
      </c>
      <c r="L32" s="45">
        <v>3055.0</v>
      </c>
      <c r="N32" s="41">
        <v>3234.0</v>
      </c>
      <c r="O32" s="45">
        <v>3594.0</v>
      </c>
      <c r="P32" s="41">
        <v>4672.0</v>
      </c>
      <c r="Q32" s="45">
        <v>5391.0</v>
      </c>
      <c r="R32" s="41">
        <v>5990.0</v>
      </c>
      <c r="S32" s="41">
        <v>6589.0</v>
      </c>
      <c r="T32" s="41">
        <v>7188.0</v>
      </c>
      <c r="U32" s="45">
        <v>7188.0</v>
      </c>
      <c r="W32" s="41">
        <v>8985.0</v>
      </c>
      <c r="X32" s="41">
        <v>8985.0</v>
      </c>
      <c r="Y32" s="41">
        <v>9225.0</v>
      </c>
      <c r="Z32" s="41">
        <v>9584.0</v>
      </c>
      <c r="AA32" s="41">
        <v>10782.0</v>
      </c>
      <c r="AB32" s="45">
        <v>10782.0</v>
      </c>
      <c r="AC32" s="41">
        <v>10782.0</v>
      </c>
      <c r="AD32" s="41">
        <v>11980.0</v>
      </c>
      <c r="AE32" s="45">
        <v>11980.0</v>
      </c>
      <c r="AF32" s="41">
        <v>13178.0</v>
      </c>
      <c r="AG32" s="41">
        <v>13178.0</v>
      </c>
      <c r="AH32" s="45">
        <v>14376.0</v>
      </c>
      <c r="AI32" s="45">
        <v>14976.0</v>
      </c>
      <c r="AJ32" s="45">
        <v>14976.0</v>
      </c>
      <c r="AK32" s="45">
        <v>21565.0</v>
      </c>
      <c r="AL32" s="45">
        <v>21565.0</v>
      </c>
      <c r="AM32" s="45">
        <v>35942.0</v>
      </c>
      <c r="AN32" s="45">
        <v>35942.0</v>
      </c>
      <c r="AO32" s="40"/>
      <c r="AR32" s="23">
        <f t="shared" si="2"/>
        <v>6655.925926</v>
      </c>
      <c r="AT32" s="23">
        <f t="shared" si="3"/>
        <v>2155.925926</v>
      </c>
      <c r="AV32" s="43">
        <f t="shared" si="4"/>
        <v>1.079462216</v>
      </c>
    </row>
    <row r="33" ht="12.75" customHeight="1">
      <c r="A33" s="34">
        <v>31.0</v>
      </c>
      <c r="B33" s="41">
        <v>1843.0</v>
      </c>
      <c r="C33" s="41">
        <v>2212.0</v>
      </c>
      <c r="D33" s="45">
        <v>2212.0</v>
      </c>
      <c r="E33" s="41">
        <v>2396.0</v>
      </c>
      <c r="F33" s="41">
        <v>2396.0</v>
      </c>
      <c r="G33" s="45">
        <v>2458.0</v>
      </c>
      <c r="H33" s="41">
        <v>2458.0</v>
      </c>
      <c r="I33" s="41">
        <v>2765.0</v>
      </c>
      <c r="J33" s="41">
        <v>3072.0</v>
      </c>
      <c r="K33" s="41">
        <v>3072.0</v>
      </c>
      <c r="L33" s="45">
        <v>3134.0</v>
      </c>
      <c r="M33" s="41">
        <v>3318.0</v>
      </c>
      <c r="N33" s="45">
        <v>3318.0</v>
      </c>
      <c r="O33" s="45">
        <v>3687.0</v>
      </c>
      <c r="P33" s="45">
        <v>4793.0</v>
      </c>
      <c r="Q33" s="45">
        <v>5531.0</v>
      </c>
      <c r="R33" s="45">
        <v>6145.0</v>
      </c>
      <c r="S33" s="41">
        <v>6760.0</v>
      </c>
      <c r="T33" s="41">
        <v>7374.0</v>
      </c>
      <c r="U33" s="45">
        <v>7374.0</v>
      </c>
      <c r="V33" s="41">
        <v>7374.0</v>
      </c>
      <c r="W33" s="41">
        <v>9218.0</v>
      </c>
      <c r="X33" s="45">
        <v>9218.0</v>
      </c>
      <c r="Y33" s="41">
        <v>9464.0</v>
      </c>
      <c r="Z33" s="41">
        <v>9833.0</v>
      </c>
      <c r="AA33" s="45">
        <v>11062.0</v>
      </c>
      <c r="AB33" s="45">
        <v>11062.0</v>
      </c>
      <c r="AC33" s="45">
        <v>11062.0</v>
      </c>
      <c r="AD33" s="41">
        <v>12291.0</v>
      </c>
      <c r="AE33" s="45">
        <v>12291.0</v>
      </c>
      <c r="AF33" s="41">
        <v>13520.0</v>
      </c>
      <c r="AG33" s="45">
        <v>13520.0</v>
      </c>
      <c r="AH33" s="45">
        <v>14749.0</v>
      </c>
      <c r="AI33" s="41">
        <v>15364.0</v>
      </c>
      <c r="AJ33" s="45">
        <v>15364.0</v>
      </c>
      <c r="AK33" s="45">
        <v>22124.0</v>
      </c>
      <c r="AL33" s="45">
        <v>22124.0</v>
      </c>
      <c r="AM33" s="45">
        <v>36874.0</v>
      </c>
      <c r="AN33" s="41">
        <v>36874.0</v>
      </c>
      <c r="AO33" s="40"/>
      <c r="AR33" s="23">
        <f t="shared" si="2"/>
        <v>6828.518519</v>
      </c>
      <c r="AT33" s="23">
        <f t="shared" si="3"/>
        <v>2328.518519</v>
      </c>
      <c r="AV33" s="43">
        <f t="shared" si="4"/>
        <v>1.080054973</v>
      </c>
    </row>
    <row r="34" ht="12.75" customHeight="1">
      <c r="A34" s="34">
        <v>32.0</v>
      </c>
      <c r="B34" s="41">
        <v>1894.0</v>
      </c>
      <c r="C34" s="41">
        <v>2272.0</v>
      </c>
      <c r="D34" s="45">
        <v>2272.0</v>
      </c>
      <c r="E34" s="45">
        <v>2462.0</v>
      </c>
      <c r="F34" s="45">
        <v>2462.0</v>
      </c>
      <c r="G34" s="45">
        <v>2525.0</v>
      </c>
      <c r="H34" s="41">
        <v>2525.0</v>
      </c>
      <c r="I34" s="45">
        <v>2841.0</v>
      </c>
      <c r="J34" s="45">
        <v>3156.0</v>
      </c>
      <c r="K34" s="45">
        <v>2156.0</v>
      </c>
      <c r="L34" s="41">
        <v>3220.0</v>
      </c>
      <c r="M34" s="41">
        <v>3409.0</v>
      </c>
      <c r="N34" s="41">
        <v>3409.0</v>
      </c>
      <c r="O34" s="45">
        <v>3788.0</v>
      </c>
      <c r="P34" s="41">
        <v>4924.0</v>
      </c>
      <c r="Q34" s="45">
        <v>5682.0</v>
      </c>
      <c r="R34" s="41">
        <v>6313.0</v>
      </c>
      <c r="S34" s="45">
        <v>6945.0</v>
      </c>
      <c r="T34" s="45">
        <v>7576.0</v>
      </c>
      <c r="U34" s="41">
        <v>6945.0</v>
      </c>
      <c r="V34" s="41">
        <v>7576.0</v>
      </c>
      <c r="W34" s="45">
        <v>9470.0</v>
      </c>
      <c r="X34" s="45">
        <v>9470.0</v>
      </c>
      <c r="Y34" s="45">
        <v>9723.0</v>
      </c>
      <c r="Z34" s="45">
        <v>10102.0</v>
      </c>
      <c r="AA34" s="45">
        <v>11364.0</v>
      </c>
      <c r="AB34" s="45">
        <v>11364.0</v>
      </c>
      <c r="AC34" s="41">
        <v>11364.0</v>
      </c>
      <c r="AD34" s="45">
        <v>12627.0</v>
      </c>
      <c r="AE34" s="41">
        <v>12627.0</v>
      </c>
      <c r="AF34" s="45">
        <v>13890.0</v>
      </c>
      <c r="AG34" s="41">
        <v>13890.0</v>
      </c>
      <c r="AH34" s="45">
        <v>15153.0</v>
      </c>
      <c r="AI34" s="45">
        <v>15784.0</v>
      </c>
      <c r="AJ34" s="41">
        <v>15784.0</v>
      </c>
      <c r="AK34" s="45">
        <v>22729.0</v>
      </c>
      <c r="AL34" s="41">
        <v>22729.0</v>
      </c>
      <c r="AM34" s="45">
        <v>37882.0</v>
      </c>
      <c r="AN34" s="45">
        <v>37882.0</v>
      </c>
      <c r="AO34" s="40"/>
      <c r="AR34" s="23">
        <f t="shared" si="2"/>
        <v>7015.185185</v>
      </c>
      <c r="AT34" s="23">
        <f t="shared" si="3"/>
        <v>2515.185185</v>
      </c>
      <c r="AV34" s="43">
        <f t="shared" si="4"/>
        <v>1.080165421</v>
      </c>
    </row>
    <row r="35" ht="12.75" customHeight="1">
      <c r="A35" s="34">
        <v>33.0</v>
      </c>
      <c r="B35" s="45">
        <v>1948.0</v>
      </c>
      <c r="C35" s="41">
        <v>2337.0</v>
      </c>
      <c r="D35" s="45">
        <v>2337.0</v>
      </c>
      <c r="E35" s="45">
        <v>2532.0</v>
      </c>
      <c r="F35" s="45">
        <v>2532.0</v>
      </c>
      <c r="H35" s="45">
        <v>2597.0</v>
      </c>
      <c r="I35" s="41">
        <v>2922.0</v>
      </c>
      <c r="J35" s="45">
        <v>3247.0</v>
      </c>
      <c r="K35" s="45">
        <v>3247.0</v>
      </c>
      <c r="L35" s="45">
        <v>3312.0</v>
      </c>
      <c r="M35" s="41">
        <v>3506.0</v>
      </c>
      <c r="N35" s="41">
        <v>3506.0</v>
      </c>
      <c r="P35" s="41">
        <v>5065.0</v>
      </c>
      <c r="Q35" s="45">
        <v>5844.0</v>
      </c>
      <c r="R35" s="45">
        <v>6494.0</v>
      </c>
      <c r="S35" s="45">
        <v>7143.0</v>
      </c>
      <c r="T35" s="45">
        <v>7793.0</v>
      </c>
      <c r="U35" s="45">
        <v>7143.0</v>
      </c>
      <c r="V35" s="45">
        <v>7793.0</v>
      </c>
      <c r="W35" s="45">
        <v>9741.0</v>
      </c>
      <c r="X35" s="45">
        <v>9741.0</v>
      </c>
      <c r="Y35" s="45">
        <v>10001.0</v>
      </c>
      <c r="Z35" s="45">
        <v>10391.0</v>
      </c>
      <c r="AA35" s="45">
        <v>11689.0</v>
      </c>
      <c r="AB35" s="45">
        <v>11689.0</v>
      </c>
      <c r="AC35" s="45">
        <v>11689.0</v>
      </c>
      <c r="AD35" s="45">
        <v>12988.0</v>
      </c>
      <c r="AE35" s="45">
        <v>12988.0</v>
      </c>
      <c r="AF35" s="45">
        <v>14287.0</v>
      </c>
      <c r="AG35" s="45">
        <v>14287.0</v>
      </c>
      <c r="AH35" s="41">
        <v>15586.0</v>
      </c>
      <c r="AI35" s="45">
        <v>16236.0</v>
      </c>
      <c r="AJ35" s="45">
        <v>16236.0</v>
      </c>
      <c r="AK35" s="41">
        <v>23379.0</v>
      </c>
      <c r="AL35" s="45">
        <v>23379.0</v>
      </c>
      <c r="AM35" s="41">
        <v>38966.0</v>
      </c>
      <c r="AN35" s="45">
        <v>38966.0</v>
      </c>
      <c r="AO35" s="40"/>
      <c r="AR35" s="23">
        <f t="shared" si="2"/>
        <v>7215.925926</v>
      </c>
      <c r="AT35" s="23">
        <f t="shared" si="3"/>
        <v>2715.925926</v>
      </c>
      <c r="AV35" s="43">
        <f t="shared" si="4"/>
        <v>1.079811515</v>
      </c>
    </row>
    <row r="36" ht="12.75" customHeight="1">
      <c r="A36" s="34">
        <v>34.0</v>
      </c>
      <c r="B36" s="45">
        <v>2006.0</v>
      </c>
      <c r="C36" s="45">
        <v>2408.0</v>
      </c>
      <c r="D36" s="45">
        <v>2408.0</v>
      </c>
      <c r="E36" s="45">
        <v>2608.0</v>
      </c>
      <c r="F36" s="41">
        <v>2608.0</v>
      </c>
      <c r="G36" s="41">
        <v>2675.0</v>
      </c>
      <c r="H36" s="45">
        <v>2675.0</v>
      </c>
      <c r="I36" s="45">
        <v>3010.0</v>
      </c>
      <c r="J36" s="45">
        <v>3344.0</v>
      </c>
      <c r="K36" s="41">
        <v>3344.0</v>
      </c>
      <c r="L36" s="45">
        <v>3411.0</v>
      </c>
      <c r="M36" s="45">
        <v>3612.0</v>
      </c>
      <c r="N36" s="45">
        <v>3612.0</v>
      </c>
      <c r="O36" s="41">
        <v>4013.0</v>
      </c>
      <c r="P36" s="45">
        <v>5217.0</v>
      </c>
      <c r="R36" s="41">
        <v>6689.0</v>
      </c>
      <c r="S36" s="45">
        <v>7358.0</v>
      </c>
      <c r="T36" s="45">
        <v>8027.0</v>
      </c>
      <c r="U36" s="45">
        <v>7358.0</v>
      </c>
      <c r="V36" s="45">
        <v>8027.0</v>
      </c>
      <c r="W36" s="45">
        <v>10034.0</v>
      </c>
      <c r="X36" s="45">
        <v>10034.0</v>
      </c>
      <c r="Y36" s="45">
        <v>10302.0</v>
      </c>
      <c r="Z36" s="45">
        <v>10703.0</v>
      </c>
      <c r="AA36" s="45">
        <v>12041.0</v>
      </c>
      <c r="AC36" s="41">
        <v>12041.0</v>
      </c>
      <c r="AD36" s="45">
        <v>13379.0</v>
      </c>
      <c r="AE36" s="45">
        <v>13379.0</v>
      </c>
      <c r="AF36" s="45">
        <v>14717.0</v>
      </c>
      <c r="AG36" s="41">
        <v>14717.0</v>
      </c>
      <c r="AH36" s="45">
        <v>16055.0</v>
      </c>
      <c r="AI36" s="41">
        <v>16724.0</v>
      </c>
      <c r="AJ36" s="45">
        <v>16724.0</v>
      </c>
      <c r="AK36" s="45">
        <v>24082.0</v>
      </c>
      <c r="AL36" s="45">
        <v>24082.0</v>
      </c>
      <c r="AM36" s="45">
        <v>40138.0</v>
      </c>
      <c r="AN36" s="45">
        <v>40138.0</v>
      </c>
      <c r="AO36" s="40"/>
      <c r="AR36" s="23">
        <f t="shared" si="2"/>
        <v>7432.962963</v>
      </c>
      <c r="AT36" s="23">
        <f t="shared" si="3"/>
        <v>2932.962963</v>
      </c>
      <c r="AV36" s="43">
        <f t="shared" si="4"/>
        <v>1.079912723</v>
      </c>
    </row>
    <row r="37" ht="12.75" customHeight="1">
      <c r="A37" s="34">
        <v>35.0</v>
      </c>
      <c r="B37" s="45">
        <v>2070.0</v>
      </c>
      <c r="C37" s="41">
        <v>2484.0</v>
      </c>
      <c r="D37" s="41">
        <v>2484.0</v>
      </c>
      <c r="E37" s="45">
        <v>2691.0</v>
      </c>
      <c r="F37" s="41">
        <v>2691.0</v>
      </c>
      <c r="G37" s="45">
        <v>2760.0</v>
      </c>
      <c r="H37" s="45">
        <v>2760.0</v>
      </c>
      <c r="I37" s="45">
        <v>3105.0</v>
      </c>
      <c r="J37" s="45">
        <v>3450.0</v>
      </c>
      <c r="K37" s="45">
        <v>3450.0</v>
      </c>
      <c r="L37" s="45">
        <v>3519.0</v>
      </c>
      <c r="M37" s="45">
        <v>3726.0</v>
      </c>
      <c r="N37" s="45">
        <v>3726.0</v>
      </c>
      <c r="O37" s="45">
        <v>4141.0</v>
      </c>
      <c r="P37" s="45">
        <v>5383.0</v>
      </c>
      <c r="R37" s="41">
        <v>6901.0</v>
      </c>
      <c r="S37" s="45">
        <v>7591.0</v>
      </c>
      <c r="T37" s="45">
        <v>8282.0</v>
      </c>
      <c r="U37" s="45">
        <v>7591.0</v>
      </c>
      <c r="V37" s="45">
        <v>8282.0</v>
      </c>
      <c r="W37" s="45">
        <v>10352.0</v>
      </c>
      <c r="X37" s="41">
        <v>10352.0</v>
      </c>
      <c r="Y37" s="45">
        <v>10628.0</v>
      </c>
      <c r="Z37" s="45">
        <v>11042.0</v>
      </c>
      <c r="AA37" s="41">
        <v>12423.0</v>
      </c>
      <c r="AC37" s="41">
        <v>12423.0</v>
      </c>
      <c r="AD37" s="45">
        <v>13803.0</v>
      </c>
      <c r="AE37" s="45">
        <v>13803.0</v>
      </c>
      <c r="AF37" s="45">
        <v>15183.0</v>
      </c>
      <c r="AG37" s="41">
        <v>15183.0</v>
      </c>
      <c r="AH37" s="45">
        <v>16564.0</v>
      </c>
      <c r="AI37" s="45">
        <v>17254.0</v>
      </c>
      <c r="AJ37" s="45">
        <v>17254.0</v>
      </c>
      <c r="AK37" s="45">
        <v>24846.0</v>
      </c>
      <c r="AL37" s="45">
        <v>24846.0</v>
      </c>
      <c r="AM37" s="45">
        <v>41410.0</v>
      </c>
      <c r="AN37" s="45">
        <v>41410.0</v>
      </c>
      <c r="AO37" s="40"/>
      <c r="AR37" s="23">
        <f t="shared" si="2"/>
        <v>7668.518519</v>
      </c>
      <c r="AT37" s="23">
        <f t="shared" si="3"/>
        <v>3168.518519</v>
      </c>
      <c r="AV37" s="43">
        <f t="shared" si="4"/>
        <v>1.080313171</v>
      </c>
    </row>
    <row r="38" ht="12.75" customHeight="1">
      <c r="A38" s="34">
        <v>36.0</v>
      </c>
      <c r="B38" s="41">
        <v>2139.0</v>
      </c>
      <c r="C38" s="45">
        <v>2567.0</v>
      </c>
      <c r="D38" s="45">
        <v>2567.0</v>
      </c>
      <c r="E38" s="45">
        <v>2780.0</v>
      </c>
      <c r="F38" s="45">
        <v>2780.0</v>
      </c>
      <c r="G38" s="45">
        <v>2852.0</v>
      </c>
      <c r="H38" s="45">
        <v>2852.0</v>
      </c>
      <c r="I38" s="45">
        <v>3208.0</v>
      </c>
      <c r="J38" s="45">
        <v>3565.0</v>
      </c>
      <c r="K38" s="45">
        <v>3565.0</v>
      </c>
      <c r="L38" s="45">
        <v>3636.0</v>
      </c>
      <c r="M38" s="45">
        <v>3850.0</v>
      </c>
      <c r="N38" s="45">
        <v>3850.0</v>
      </c>
      <c r="O38" s="45">
        <v>4278.0</v>
      </c>
      <c r="P38" s="45">
        <v>5561.0</v>
      </c>
      <c r="R38" s="45">
        <v>7130.0</v>
      </c>
      <c r="S38" s="45">
        <v>7843.0</v>
      </c>
      <c r="T38" s="45">
        <v>8556.0</v>
      </c>
      <c r="U38" s="45">
        <v>7843.0</v>
      </c>
      <c r="V38" s="45">
        <v>8556.0</v>
      </c>
      <c r="W38" s="45">
        <v>10696.0</v>
      </c>
      <c r="X38" s="45">
        <v>10696.0</v>
      </c>
      <c r="Y38" s="45">
        <v>10981.0</v>
      </c>
      <c r="Z38" s="45">
        <v>11409.0</v>
      </c>
      <c r="AA38" s="45">
        <v>12835.0</v>
      </c>
      <c r="AC38" s="45">
        <v>12835.0</v>
      </c>
      <c r="AD38" s="45">
        <v>14261.0</v>
      </c>
      <c r="AE38" s="45">
        <v>14261.0</v>
      </c>
      <c r="AF38" s="45">
        <v>15687.0</v>
      </c>
      <c r="AG38" s="45">
        <v>15687.0</v>
      </c>
      <c r="AH38" s="45">
        <v>17113.0</v>
      </c>
      <c r="AI38" s="45">
        <v>17826.0</v>
      </c>
      <c r="AJ38" s="45">
        <v>17826.0</v>
      </c>
      <c r="AK38" s="45">
        <v>25670.0</v>
      </c>
      <c r="AL38" s="45">
        <v>25670.0</v>
      </c>
      <c r="AM38" s="45">
        <v>42784.0</v>
      </c>
      <c r="AN38" s="45">
        <v>42784.0</v>
      </c>
      <c r="AO38" s="40"/>
      <c r="AR38" s="23">
        <f t="shared" si="2"/>
        <v>7922.962963</v>
      </c>
      <c r="AT38" s="23">
        <f t="shared" si="3"/>
        <v>3422.962963</v>
      </c>
      <c r="AV38" s="43">
        <f t="shared" si="4"/>
        <v>1.080303916</v>
      </c>
    </row>
    <row r="39" ht="12.75" customHeight="1">
      <c r="A39" s="34">
        <v>37.0</v>
      </c>
      <c r="B39" s="41">
        <v>2212.0</v>
      </c>
      <c r="C39" s="45">
        <v>2655.0</v>
      </c>
      <c r="D39" s="45">
        <v>2655.0</v>
      </c>
      <c r="E39" s="41">
        <v>2876.0</v>
      </c>
      <c r="F39" s="45">
        <v>2876.0</v>
      </c>
      <c r="G39" s="45">
        <v>2950.0</v>
      </c>
      <c r="I39" s="45">
        <v>3319.0</v>
      </c>
      <c r="K39" s="45">
        <v>3688.0</v>
      </c>
      <c r="L39" s="45">
        <v>3761.0</v>
      </c>
      <c r="M39" s="45">
        <v>3983.0</v>
      </c>
      <c r="N39" s="45">
        <v>3983.0</v>
      </c>
      <c r="O39" s="45">
        <v>4425.0</v>
      </c>
      <c r="P39" s="45">
        <v>5753.0</v>
      </c>
      <c r="R39" s="45">
        <v>7376.0</v>
      </c>
      <c r="S39" s="41">
        <v>8114.0</v>
      </c>
      <c r="U39" s="45">
        <v>8114.0</v>
      </c>
      <c r="X39" s="45">
        <v>11064.0</v>
      </c>
      <c r="Y39" s="41">
        <v>11359.0</v>
      </c>
      <c r="AA39" s="45">
        <v>13277.0</v>
      </c>
      <c r="AC39" s="45">
        <v>13277.0</v>
      </c>
      <c r="AE39" s="45">
        <v>14752.0</v>
      </c>
      <c r="AF39" s="41">
        <v>16228.0</v>
      </c>
      <c r="AG39" s="45">
        <v>16228.0</v>
      </c>
      <c r="AH39" s="45">
        <v>17703.0</v>
      </c>
      <c r="AI39" s="45">
        <v>18441.0</v>
      </c>
      <c r="AJ39" s="45">
        <v>18441.0</v>
      </c>
      <c r="AK39" s="45">
        <v>26555.0</v>
      </c>
      <c r="AL39" s="45">
        <v>26555.0</v>
      </c>
      <c r="AM39" s="45">
        <v>44258.0</v>
      </c>
      <c r="AN39" s="45">
        <f t="shared" ref="AN39:AN40" si="6">AM39</f>
        <v>44258</v>
      </c>
      <c r="AO39" s="40"/>
      <c r="AR39" s="23">
        <f t="shared" si="2"/>
        <v>8195.925926</v>
      </c>
      <c r="AT39" s="23">
        <f t="shared" si="3"/>
        <v>3695.925926</v>
      </c>
      <c r="AV39" s="43">
        <f t="shared" si="4"/>
        <v>1.079744644</v>
      </c>
    </row>
    <row r="40" ht="12.75" customHeight="1">
      <c r="A40" s="34">
        <v>38.0</v>
      </c>
      <c r="B40" s="45">
        <v>2292.0</v>
      </c>
      <c r="C40" s="41">
        <v>2751.0</v>
      </c>
      <c r="D40" s="41">
        <v>2751.0</v>
      </c>
      <c r="E40" s="45">
        <v>2980.0</v>
      </c>
      <c r="F40" s="45">
        <v>2980.0</v>
      </c>
      <c r="G40" s="45">
        <v>3057.0</v>
      </c>
      <c r="I40" s="45">
        <v>3439.0</v>
      </c>
      <c r="K40" s="45">
        <v>3821.0</v>
      </c>
      <c r="M40" s="41">
        <v>4127.0</v>
      </c>
      <c r="N40" s="45">
        <v>4127.0</v>
      </c>
      <c r="O40" s="45">
        <v>4585.0</v>
      </c>
      <c r="P40" s="45">
        <v>5961.0</v>
      </c>
      <c r="R40" s="45">
        <v>7643.0</v>
      </c>
      <c r="S40" s="45">
        <v>8407.0</v>
      </c>
      <c r="U40" s="41">
        <v>9171.0</v>
      </c>
      <c r="X40" s="41">
        <v>11464.0</v>
      </c>
      <c r="Y40" s="45">
        <v>11770.0</v>
      </c>
      <c r="AA40" s="41">
        <v>13757.0</v>
      </c>
      <c r="AC40" s="45">
        <v>13757.0</v>
      </c>
      <c r="AE40" s="41">
        <v>15286.0</v>
      </c>
      <c r="AF40" s="45">
        <v>16814.0</v>
      </c>
      <c r="AG40" s="45">
        <v>16814.0</v>
      </c>
      <c r="AH40" s="45">
        <v>18343.0</v>
      </c>
      <c r="AI40" s="45">
        <v>19107.0</v>
      </c>
      <c r="AK40" s="45">
        <v>27515.0</v>
      </c>
      <c r="AM40" s="45">
        <v>45858.0</v>
      </c>
      <c r="AN40" s="45">
        <f t="shared" si="6"/>
        <v>45858</v>
      </c>
      <c r="AO40" s="40"/>
      <c r="AR40" s="23">
        <f t="shared" si="2"/>
        <v>8492.222222</v>
      </c>
      <c r="AT40" s="23">
        <f t="shared" si="3"/>
        <v>3992.222222</v>
      </c>
      <c r="AV40" s="43">
        <f t="shared" si="4"/>
        <v>1.080168354</v>
      </c>
    </row>
    <row r="41" ht="12.75" customHeight="1">
      <c r="A41" s="34">
        <v>39.0</v>
      </c>
      <c r="B41" s="45">
        <v>2379.0</v>
      </c>
      <c r="C41" s="45">
        <v>2855.0</v>
      </c>
      <c r="D41" s="41">
        <v>2855.0</v>
      </c>
      <c r="E41" s="41">
        <v>3093.0</v>
      </c>
      <c r="F41" s="41">
        <v>3093.0</v>
      </c>
      <c r="G41" s="45">
        <v>3172.0</v>
      </c>
      <c r="H41" s="41">
        <v>3172.0</v>
      </c>
      <c r="J41" s="41">
        <v>3965.0</v>
      </c>
      <c r="K41" s="41">
        <v>3965.0</v>
      </c>
      <c r="M41" s="41">
        <v>4282.0</v>
      </c>
      <c r="N41" s="41">
        <v>4282.0</v>
      </c>
      <c r="O41" s="45">
        <v>4758.0</v>
      </c>
      <c r="P41" s="41">
        <v>6186.0</v>
      </c>
      <c r="Q41" s="41">
        <v>7137.0</v>
      </c>
      <c r="R41" s="41">
        <v>7930.0</v>
      </c>
      <c r="S41" s="45">
        <v>8723.0</v>
      </c>
      <c r="U41" s="45">
        <v>9516.0</v>
      </c>
      <c r="V41" s="41">
        <v>9516.0</v>
      </c>
      <c r="X41" s="41">
        <v>11896.0</v>
      </c>
      <c r="Y41" s="45">
        <v>12213.0</v>
      </c>
      <c r="Z41" s="41">
        <v>12689.0</v>
      </c>
      <c r="AA41" s="41">
        <v>14275.0</v>
      </c>
      <c r="AB41" s="41">
        <v>14275.0</v>
      </c>
      <c r="AC41" s="41">
        <v>14275.0</v>
      </c>
      <c r="AE41" s="45">
        <v>15861.0</v>
      </c>
      <c r="AF41" s="45">
        <v>17447.0</v>
      </c>
      <c r="AG41" s="41">
        <v>17447.0</v>
      </c>
      <c r="AH41" s="41">
        <v>19033.0</v>
      </c>
      <c r="AI41" s="41">
        <v>19827.0</v>
      </c>
      <c r="AK41" s="41">
        <v>28550.0</v>
      </c>
      <c r="AM41" s="41">
        <v>47584.0</v>
      </c>
      <c r="AN41" s="41">
        <v>47584.0</v>
      </c>
      <c r="AO41" s="40"/>
      <c r="AR41" s="23">
        <f t="shared" si="2"/>
        <v>8811.851852</v>
      </c>
      <c r="AT41" s="23">
        <f t="shared" si="3"/>
        <v>4311.851852</v>
      </c>
      <c r="AV41" s="43">
        <f t="shared" si="4"/>
        <v>1.080063086</v>
      </c>
    </row>
    <row r="42" ht="12.75" customHeight="1">
      <c r="A42" s="34">
        <v>40.0</v>
      </c>
      <c r="B42" s="41">
        <v>2472.0</v>
      </c>
      <c r="C42" s="41">
        <v>2966.0</v>
      </c>
      <c r="D42" s="45">
        <v>2966.0</v>
      </c>
      <c r="E42" s="41">
        <v>3214.0</v>
      </c>
      <c r="F42" s="41">
        <v>3214.0</v>
      </c>
      <c r="G42" s="41">
        <v>3296.0</v>
      </c>
      <c r="H42" s="41">
        <v>3296.0</v>
      </c>
      <c r="J42" s="41">
        <v>4120.0</v>
      </c>
      <c r="K42" s="41">
        <v>4120.0</v>
      </c>
      <c r="L42" s="41">
        <v>4203.0</v>
      </c>
      <c r="M42" s="41">
        <v>4450.0</v>
      </c>
      <c r="N42" s="45">
        <v>4450.0</v>
      </c>
      <c r="O42" s="41">
        <v>4944.0</v>
      </c>
      <c r="P42" s="45">
        <v>6428.0</v>
      </c>
      <c r="Q42" s="45">
        <v>7417.0</v>
      </c>
      <c r="R42" s="41">
        <v>8241.0</v>
      </c>
      <c r="S42" s="45">
        <v>9065.0</v>
      </c>
      <c r="U42" s="45">
        <v>9889.0</v>
      </c>
      <c r="V42" s="41">
        <v>9889.0</v>
      </c>
      <c r="X42" s="45">
        <v>12362.0</v>
      </c>
      <c r="Y42" s="45">
        <v>12692.0</v>
      </c>
      <c r="Z42" s="41">
        <v>13186.0</v>
      </c>
      <c r="AA42" s="45">
        <v>14834.0</v>
      </c>
      <c r="AB42" s="45">
        <v>14834.0</v>
      </c>
      <c r="AC42" s="41">
        <v>14834.0</v>
      </c>
      <c r="AE42" s="45">
        <v>16483.0</v>
      </c>
      <c r="AF42" s="45">
        <v>18131.0</v>
      </c>
      <c r="AG42" s="41">
        <v>18131.0</v>
      </c>
      <c r="AH42" s="41">
        <v>19779.0</v>
      </c>
      <c r="AI42" s="41">
        <v>20604.0</v>
      </c>
      <c r="AJ42" s="41">
        <v>20604.0</v>
      </c>
      <c r="AK42" s="41">
        <v>29669.0</v>
      </c>
      <c r="AL42" s="41">
        <v>29669.0</v>
      </c>
      <c r="AM42" s="41">
        <v>49449.0</v>
      </c>
      <c r="AN42" s="41">
        <v>49449.0</v>
      </c>
      <c r="AO42" s="40"/>
      <c r="AR42" s="23">
        <f t="shared" si="2"/>
        <v>9157.222222</v>
      </c>
      <c r="AT42" s="23">
        <f t="shared" si="3"/>
        <v>4657.222222</v>
      </c>
      <c r="AV42" s="43">
        <f t="shared" si="4"/>
        <v>1.080097921</v>
      </c>
    </row>
    <row r="43" ht="12.75" customHeight="1">
      <c r="A43" s="34">
        <v>41.0</v>
      </c>
      <c r="B43" s="45">
        <v>2573.0</v>
      </c>
      <c r="C43" s="45">
        <v>3087.0</v>
      </c>
      <c r="D43" s="45">
        <v>3087.0</v>
      </c>
      <c r="E43" s="41">
        <v>3345.0</v>
      </c>
      <c r="F43" s="45">
        <v>3345.0</v>
      </c>
      <c r="G43" s="45">
        <v>3431.0</v>
      </c>
      <c r="I43" s="41">
        <v>3859.0</v>
      </c>
      <c r="J43" s="41">
        <v>4288.0</v>
      </c>
      <c r="K43" s="45">
        <v>4288.0</v>
      </c>
      <c r="L43" s="45">
        <v>4374.0</v>
      </c>
      <c r="M43" s="45">
        <v>4631.0</v>
      </c>
      <c r="N43" s="45">
        <v>4631.0</v>
      </c>
      <c r="O43" s="45">
        <v>5146.0</v>
      </c>
      <c r="P43" s="45">
        <v>6690.0</v>
      </c>
      <c r="Q43" s="41">
        <v>7719.0</v>
      </c>
      <c r="R43" s="45">
        <v>8577.0</v>
      </c>
      <c r="S43" s="45">
        <v>9435.0</v>
      </c>
      <c r="T43" s="41">
        <v>10293.0</v>
      </c>
      <c r="U43" s="45">
        <v>10293.0</v>
      </c>
      <c r="W43" s="41">
        <v>12866.0</v>
      </c>
      <c r="X43" s="45">
        <v>12866.0</v>
      </c>
      <c r="Y43" s="45">
        <v>13209.0</v>
      </c>
      <c r="Z43" s="45">
        <v>13724.0</v>
      </c>
      <c r="AA43" s="45">
        <v>15439.0</v>
      </c>
      <c r="AB43" s="41">
        <v>15439.0</v>
      </c>
      <c r="AC43" s="45">
        <v>15439.0</v>
      </c>
      <c r="AD43" s="41">
        <v>17155.0</v>
      </c>
      <c r="AE43" s="45">
        <v>17155.0</v>
      </c>
      <c r="AF43" s="45">
        <v>18870.0</v>
      </c>
      <c r="AG43" s="45">
        <v>18870.0</v>
      </c>
      <c r="AH43" s="45">
        <v>20586.0</v>
      </c>
      <c r="AI43" s="45">
        <v>21444.0</v>
      </c>
      <c r="AJ43" s="45">
        <v>21444.0</v>
      </c>
      <c r="AK43" s="45">
        <v>30879.0</v>
      </c>
      <c r="AL43" s="45">
        <v>30879.0</v>
      </c>
      <c r="AM43" s="45">
        <v>51465.0</v>
      </c>
      <c r="AN43" s="41">
        <v>51465.0</v>
      </c>
      <c r="AO43" s="40"/>
      <c r="AR43" s="23">
        <f t="shared" si="2"/>
        <v>9530.555556</v>
      </c>
      <c r="AT43" s="23">
        <f t="shared" si="3"/>
        <v>5030.555556</v>
      </c>
      <c r="AV43" s="43">
        <f t="shared" si="4"/>
        <v>1.080162233</v>
      </c>
    </row>
    <row r="44" ht="12.75" customHeight="1">
      <c r="A44" s="34">
        <v>42.0</v>
      </c>
      <c r="B44" s="41">
        <v>2681.0</v>
      </c>
      <c r="C44" s="45">
        <v>3217.0</v>
      </c>
      <c r="D44" s="45">
        <v>3217.0</v>
      </c>
      <c r="E44" s="45">
        <v>3486.0</v>
      </c>
      <c r="F44" s="45">
        <v>3486.0</v>
      </c>
      <c r="G44" s="45">
        <v>3575.0</v>
      </c>
      <c r="I44" s="45">
        <v>4022.0</v>
      </c>
      <c r="J44" s="41">
        <v>4469.0</v>
      </c>
      <c r="K44" s="45">
        <v>4469.0</v>
      </c>
      <c r="L44" s="45">
        <v>4558.0</v>
      </c>
      <c r="M44" s="45">
        <v>4826.0</v>
      </c>
      <c r="N44" s="45">
        <v>4826.0</v>
      </c>
      <c r="O44" s="45">
        <v>5363.0</v>
      </c>
      <c r="P44" s="45">
        <v>6972.0</v>
      </c>
      <c r="Q44" s="45">
        <v>8044.0</v>
      </c>
      <c r="R44" s="41">
        <v>8938.0</v>
      </c>
      <c r="S44" s="45">
        <v>9832.0</v>
      </c>
      <c r="T44" s="45">
        <v>10726.0</v>
      </c>
      <c r="U44" s="41">
        <v>9832.0</v>
      </c>
      <c r="W44" s="45">
        <v>13408.0</v>
      </c>
      <c r="X44" s="45">
        <v>13408.0</v>
      </c>
      <c r="Y44" s="45">
        <v>13765.0</v>
      </c>
      <c r="Z44" s="45">
        <v>14302.0</v>
      </c>
      <c r="AA44" s="45">
        <v>16089.0</v>
      </c>
      <c r="AB44" s="45">
        <v>16089.0</v>
      </c>
      <c r="AC44" s="41">
        <v>16089.0</v>
      </c>
      <c r="AD44" s="45">
        <v>17877.0</v>
      </c>
      <c r="AE44" s="41">
        <v>17877.0</v>
      </c>
      <c r="AF44" s="45">
        <v>19665.0</v>
      </c>
      <c r="AG44" s="41">
        <v>19665.0</v>
      </c>
      <c r="AH44" s="45">
        <v>21453.0</v>
      </c>
      <c r="AI44" s="45">
        <v>22347.0</v>
      </c>
      <c r="AJ44" s="45">
        <v>22347.0</v>
      </c>
      <c r="AK44" s="45">
        <v>32179.0</v>
      </c>
      <c r="AL44" s="45">
        <v>32179.0</v>
      </c>
      <c r="AM44" s="45">
        <v>53632.0</v>
      </c>
      <c r="AN44" s="41">
        <v>53632.0</v>
      </c>
      <c r="AO44" s="40"/>
      <c r="AR44" s="23">
        <f t="shared" si="2"/>
        <v>9931.851852</v>
      </c>
      <c r="AT44" s="23">
        <f t="shared" si="3"/>
        <v>5431.851852</v>
      </c>
      <c r="AV44" s="43">
        <f t="shared" si="4"/>
        <v>1.079771765</v>
      </c>
    </row>
    <row r="45" ht="12.75" customHeight="1">
      <c r="A45" s="34">
        <v>43.0</v>
      </c>
      <c r="B45" s="41">
        <v>2798.0</v>
      </c>
      <c r="C45" s="45">
        <v>3358.0</v>
      </c>
      <c r="D45" s="45">
        <v>3358.0</v>
      </c>
      <c r="E45" s="45">
        <v>3638.0</v>
      </c>
      <c r="F45" s="45">
        <v>3638.0</v>
      </c>
      <c r="G45" s="41">
        <v>3731.0</v>
      </c>
      <c r="I45" s="45">
        <v>4198.0</v>
      </c>
      <c r="J45" s="45">
        <v>4664.0</v>
      </c>
      <c r="K45" s="45">
        <v>4664.0</v>
      </c>
      <c r="L45" s="41">
        <v>4757.0</v>
      </c>
      <c r="M45" s="45">
        <v>5037.0</v>
      </c>
      <c r="N45" s="45">
        <v>5037.0</v>
      </c>
      <c r="O45" s="41">
        <v>5597.0</v>
      </c>
      <c r="P45" s="45">
        <v>7276.0</v>
      </c>
      <c r="Q45" s="45">
        <v>8396.0</v>
      </c>
      <c r="R45" s="41">
        <v>9329.0</v>
      </c>
      <c r="T45" s="45">
        <v>11195.0</v>
      </c>
      <c r="U45" s="45">
        <v>10262.0</v>
      </c>
      <c r="W45" s="45">
        <v>13994.0</v>
      </c>
      <c r="X45" s="45">
        <v>13994.0</v>
      </c>
      <c r="Z45" s="45">
        <v>14927.0</v>
      </c>
      <c r="AA45" s="45">
        <v>16792.0</v>
      </c>
      <c r="AB45" s="45">
        <v>16792.0</v>
      </c>
      <c r="AC45" s="41">
        <v>16792.0</v>
      </c>
      <c r="AD45" s="45">
        <v>18658.0</v>
      </c>
      <c r="AE45" s="45">
        <v>18658.0</v>
      </c>
      <c r="AG45" s="41">
        <v>20524.0</v>
      </c>
      <c r="AH45" s="45">
        <v>22390.0</v>
      </c>
      <c r="AI45" s="45">
        <v>23323.0</v>
      </c>
      <c r="AJ45" s="41">
        <v>23323.0</v>
      </c>
      <c r="AK45" s="45">
        <v>33585.0</v>
      </c>
      <c r="AL45" s="41">
        <v>33585.0</v>
      </c>
      <c r="AM45" s="45">
        <v>55976.0</v>
      </c>
      <c r="AN45" s="45">
        <v>55976.0</v>
      </c>
      <c r="AO45" s="40"/>
      <c r="AR45" s="23">
        <f t="shared" si="2"/>
        <v>10365.92593</v>
      </c>
      <c r="AT45" s="23">
        <f t="shared" si="3"/>
        <v>5865.925926</v>
      </c>
      <c r="AV45" s="43">
        <f t="shared" si="4"/>
        <v>1.079912723</v>
      </c>
    </row>
    <row r="46" ht="12.75" customHeight="1">
      <c r="A46" s="34">
        <v>44.0</v>
      </c>
      <c r="B46" s="45">
        <v>2925.0</v>
      </c>
      <c r="C46" s="41">
        <v>3510.0</v>
      </c>
      <c r="D46" s="45">
        <v>3510.0</v>
      </c>
      <c r="E46" s="45">
        <v>3803.0</v>
      </c>
      <c r="F46" s="45">
        <v>3803.0</v>
      </c>
      <c r="G46" s="41">
        <v>3900.0</v>
      </c>
      <c r="H46" s="41">
        <v>3900.0</v>
      </c>
      <c r="I46" s="45">
        <v>4388.0</v>
      </c>
      <c r="J46" s="45">
        <v>4875.0</v>
      </c>
      <c r="K46" s="45">
        <v>4875.0</v>
      </c>
      <c r="L46" s="45">
        <v>4973.0</v>
      </c>
      <c r="M46" s="41">
        <v>5265.0</v>
      </c>
      <c r="N46" s="45">
        <v>5265.0</v>
      </c>
      <c r="O46" s="41">
        <v>5850.0</v>
      </c>
      <c r="P46" s="45">
        <v>7606.0</v>
      </c>
      <c r="Q46" s="45">
        <v>8776.0</v>
      </c>
      <c r="R46" s="45">
        <v>9751.0</v>
      </c>
      <c r="T46" s="41">
        <v>11701.0</v>
      </c>
      <c r="U46" s="45">
        <v>10726.0</v>
      </c>
      <c r="V46" s="41">
        <v>11701.0</v>
      </c>
      <c r="W46" s="41">
        <v>14627.0</v>
      </c>
      <c r="X46" s="45">
        <v>14627.0</v>
      </c>
      <c r="Z46" s="41">
        <v>15602.0</v>
      </c>
      <c r="AA46" s="45">
        <v>17552.0</v>
      </c>
      <c r="AB46" s="45">
        <v>17552.0</v>
      </c>
      <c r="AC46" s="45">
        <v>17552.0</v>
      </c>
      <c r="AD46" s="41">
        <v>19503.0</v>
      </c>
      <c r="AE46" s="45">
        <v>19503.0</v>
      </c>
      <c r="AG46" s="45">
        <v>21453.0</v>
      </c>
      <c r="AH46" s="45">
        <v>23403.0</v>
      </c>
      <c r="AI46" s="45">
        <v>24378.0</v>
      </c>
      <c r="AJ46" s="45">
        <v>24378.0</v>
      </c>
      <c r="AK46" s="45">
        <v>35105.0</v>
      </c>
      <c r="AL46" s="45">
        <v>35105.0</v>
      </c>
      <c r="AM46" s="45">
        <v>58509.0</v>
      </c>
      <c r="AN46" s="45">
        <v>58509.0</v>
      </c>
      <c r="AO46" s="40"/>
      <c r="AR46" s="23">
        <f t="shared" si="2"/>
        <v>10835</v>
      </c>
      <c r="AT46" s="23">
        <f t="shared" si="3"/>
        <v>6335</v>
      </c>
      <c r="AV46" s="43">
        <f t="shared" si="4"/>
        <v>1.079965905</v>
      </c>
    </row>
    <row r="47" ht="12.75" customHeight="1">
      <c r="A47" s="34">
        <v>45.0</v>
      </c>
      <c r="B47" s="45">
        <v>3062.0</v>
      </c>
      <c r="C47" s="45">
        <v>3674.0</v>
      </c>
      <c r="E47" s="45">
        <v>3980.0</v>
      </c>
      <c r="F47" s="45">
        <v>3980.0</v>
      </c>
      <c r="G47" s="45">
        <v>4082.0</v>
      </c>
      <c r="I47" s="41">
        <v>4593.0</v>
      </c>
      <c r="J47" s="45">
        <v>5103.0</v>
      </c>
      <c r="K47" s="41">
        <v>5103.0</v>
      </c>
      <c r="L47" s="45">
        <v>5205.0</v>
      </c>
      <c r="M47" s="41">
        <v>5511.0</v>
      </c>
      <c r="O47" s="45">
        <v>6124.0</v>
      </c>
      <c r="Q47" s="41">
        <v>9186.0</v>
      </c>
      <c r="R47" s="45">
        <v>10207.0</v>
      </c>
      <c r="T47" s="45">
        <v>12248.0</v>
      </c>
      <c r="U47" s="45">
        <v>11227.0</v>
      </c>
      <c r="W47" s="45">
        <v>15310.0</v>
      </c>
      <c r="Z47" s="41">
        <v>16331.0</v>
      </c>
      <c r="AB47" s="41">
        <v>18372.0</v>
      </c>
      <c r="AC47" s="45">
        <v>18372.0</v>
      </c>
      <c r="AD47" s="45">
        <v>20414.0</v>
      </c>
      <c r="AE47" s="45">
        <v>20414.0</v>
      </c>
      <c r="AG47" s="45">
        <v>22455.0</v>
      </c>
      <c r="AH47" s="45">
        <v>24497.0</v>
      </c>
      <c r="AI47" s="41">
        <v>25518.0</v>
      </c>
      <c r="AJ47" s="45">
        <v>25518.0</v>
      </c>
      <c r="AK47" s="45">
        <v>36745.0</v>
      </c>
      <c r="AL47" s="45">
        <v>36745.0</v>
      </c>
      <c r="AM47" s="45">
        <v>61243.0</v>
      </c>
      <c r="AN47" s="45">
        <v>61243.0</v>
      </c>
      <c r="AO47" s="40"/>
      <c r="AR47" s="23">
        <f t="shared" si="2"/>
        <v>11341.2963</v>
      </c>
      <c r="AT47" s="23">
        <f t="shared" si="3"/>
        <v>6841.296296</v>
      </c>
      <c r="AV47" s="43">
        <f t="shared" si="4"/>
        <v>1.079920489</v>
      </c>
    </row>
    <row r="48" ht="12.75" customHeight="1">
      <c r="A48" s="34">
        <v>46.0</v>
      </c>
      <c r="B48" s="45">
        <v>3210.0</v>
      </c>
      <c r="C48" s="45">
        <v>3852.0</v>
      </c>
      <c r="D48" s="41">
        <v>3852.0</v>
      </c>
      <c r="E48" s="41">
        <v>4173.0</v>
      </c>
      <c r="F48" s="41">
        <v>4173.0</v>
      </c>
      <c r="G48" s="45">
        <v>4280.0</v>
      </c>
      <c r="I48" s="45">
        <v>4815.0</v>
      </c>
      <c r="J48" s="45">
        <v>5350.0</v>
      </c>
      <c r="K48" s="45">
        <v>5350.0</v>
      </c>
      <c r="L48" s="45">
        <v>5457.0</v>
      </c>
      <c r="M48" s="45">
        <v>5778.0</v>
      </c>
      <c r="O48" s="45">
        <v>6420.0</v>
      </c>
      <c r="Q48" s="45">
        <v>9630.0</v>
      </c>
      <c r="R48" s="45">
        <v>10700.0</v>
      </c>
      <c r="T48" s="45">
        <v>12840.0</v>
      </c>
      <c r="U48" s="45">
        <v>11770.0</v>
      </c>
      <c r="W48" s="45">
        <v>16051.0</v>
      </c>
      <c r="X48" s="41">
        <v>16051.0</v>
      </c>
      <c r="Z48" s="45">
        <v>17121.0</v>
      </c>
      <c r="AA48" s="41">
        <v>19261.0</v>
      </c>
      <c r="AB48" s="45">
        <v>19261.0</v>
      </c>
      <c r="AC48" s="45">
        <v>19261.0</v>
      </c>
      <c r="AD48" s="45">
        <v>21401.0</v>
      </c>
      <c r="AE48" s="45">
        <v>21401.0</v>
      </c>
      <c r="AG48" s="45">
        <v>23541.0</v>
      </c>
      <c r="AI48" s="45">
        <v>26751.0</v>
      </c>
      <c r="AJ48" s="45">
        <v>26751.0</v>
      </c>
      <c r="AL48" s="45">
        <v>38522.0</v>
      </c>
      <c r="AN48" s="45">
        <v>64204.0</v>
      </c>
      <c r="AO48" s="40"/>
      <c r="AR48" s="23">
        <f t="shared" si="2"/>
        <v>11889.62963</v>
      </c>
      <c r="AT48" s="23">
        <f t="shared" si="3"/>
        <v>7389.62963</v>
      </c>
      <c r="AV48" s="43">
        <f t="shared" si="4"/>
        <v>1.080150502</v>
      </c>
    </row>
    <row r="49" ht="12.75" customHeight="1">
      <c r="A49" s="34">
        <v>47.0</v>
      </c>
      <c r="B49" s="45">
        <v>3369.0</v>
      </c>
      <c r="C49" s="41">
        <v>4043.0</v>
      </c>
      <c r="D49" s="45">
        <v>4043.0</v>
      </c>
      <c r="E49" s="45">
        <v>4380.0</v>
      </c>
      <c r="F49" s="45">
        <v>4380.0</v>
      </c>
      <c r="G49" s="45">
        <v>4492.0</v>
      </c>
      <c r="I49" s="41">
        <v>5054.0</v>
      </c>
      <c r="J49" s="41">
        <v>5616.0</v>
      </c>
      <c r="K49" s="45">
        <v>5616.0</v>
      </c>
      <c r="L49" s="41">
        <v>5728.0</v>
      </c>
      <c r="M49" s="45">
        <v>6065.0</v>
      </c>
      <c r="O49" s="45">
        <v>6739.0</v>
      </c>
      <c r="Q49" s="45">
        <v>10108.0</v>
      </c>
      <c r="R49" s="45">
        <v>11232.0</v>
      </c>
      <c r="T49" s="45">
        <v>13478.0</v>
      </c>
      <c r="U49" s="45">
        <v>12355.0</v>
      </c>
      <c r="W49" s="45">
        <v>16848.0</v>
      </c>
      <c r="X49" s="45">
        <v>16848.0</v>
      </c>
      <c r="Z49" s="45">
        <v>17971.0</v>
      </c>
      <c r="AA49" s="45">
        <v>20217.0</v>
      </c>
      <c r="AB49" s="45">
        <v>20217.0</v>
      </c>
      <c r="AC49" s="45">
        <v>20217.0</v>
      </c>
      <c r="AD49" s="45">
        <v>22464.0</v>
      </c>
      <c r="AE49" s="45">
        <v>22565.0</v>
      </c>
      <c r="AG49" s="45">
        <v>24710.0</v>
      </c>
      <c r="AI49" s="45">
        <v>28080.0</v>
      </c>
      <c r="AJ49" s="41">
        <v>28080.0</v>
      </c>
      <c r="AL49" s="41">
        <v>40435.0</v>
      </c>
      <c r="AN49" s="41">
        <v>67392.0</v>
      </c>
      <c r="AO49" s="40"/>
      <c r="AR49" s="23">
        <f t="shared" si="2"/>
        <v>12480</v>
      </c>
      <c r="AT49" s="23">
        <f t="shared" si="3"/>
        <v>7980</v>
      </c>
      <c r="AV49" s="43">
        <f t="shared" si="4"/>
        <v>1.07989174</v>
      </c>
    </row>
    <row r="50" ht="12.75" customHeight="1">
      <c r="A50" s="34">
        <v>48.0</v>
      </c>
      <c r="B50" s="45">
        <v>3542.0</v>
      </c>
      <c r="C50" s="45">
        <v>4250.0</v>
      </c>
      <c r="D50" s="41">
        <v>4250.0</v>
      </c>
      <c r="E50" s="45">
        <v>4604.0</v>
      </c>
      <c r="F50" s="45">
        <v>4604.0</v>
      </c>
      <c r="G50" s="41">
        <v>4722.0</v>
      </c>
      <c r="H50" s="41">
        <v>4722.0</v>
      </c>
      <c r="I50" s="41">
        <v>5313.0</v>
      </c>
      <c r="J50" s="41">
        <v>5903.0</v>
      </c>
      <c r="K50" s="41">
        <v>5903.0</v>
      </c>
      <c r="L50" s="41">
        <v>6021.0</v>
      </c>
      <c r="M50" s="45">
        <v>6375.0</v>
      </c>
      <c r="N50" s="41">
        <v>6375.0</v>
      </c>
      <c r="O50" s="41">
        <v>7084.0</v>
      </c>
      <c r="P50" s="41">
        <v>9209.0</v>
      </c>
      <c r="Q50" s="45">
        <v>10626.0</v>
      </c>
      <c r="R50" s="45">
        <v>11807.0</v>
      </c>
      <c r="S50" s="41">
        <v>12988.0</v>
      </c>
      <c r="T50" s="45">
        <v>14168.0</v>
      </c>
      <c r="U50" s="41">
        <v>14168.0</v>
      </c>
      <c r="V50" s="41">
        <v>14168.0</v>
      </c>
      <c r="W50" s="45">
        <v>17711.0</v>
      </c>
      <c r="X50" s="41">
        <v>17711.0</v>
      </c>
      <c r="Y50" s="41">
        <v>18183.0</v>
      </c>
      <c r="Z50" s="41">
        <v>18891.0</v>
      </c>
      <c r="AA50" s="41">
        <v>21253.0</v>
      </c>
      <c r="AB50" s="45">
        <v>21253.0</v>
      </c>
      <c r="AC50" s="45">
        <v>21253.0</v>
      </c>
      <c r="AD50" s="45">
        <v>23614.0</v>
      </c>
      <c r="AE50" s="41">
        <v>23614.0</v>
      </c>
      <c r="AF50" s="41">
        <v>25976.0</v>
      </c>
      <c r="AG50" s="45">
        <v>25976.0</v>
      </c>
      <c r="AI50" s="41">
        <v>29518.0</v>
      </c>
      <c r="AJ50" s="41">
        <v>29518.0</v>
      </c>
      <c r="AL50" s="41">
        <v>42506.0</v>
      </c>
      <c r="AN50" s="41">
        <v>70844.0</v>
      </c>
      <c r="AO50" s="40"/>
      <c r="AR50" s="23">
        <f t="shared" si="2"/>
        <v>13119.25926</v>
      </c>
      <c r="AT50" s="23">
        <f t="shared" si="3"/>
        <v>8619.259259</v>
      </c>
      <c r="AV50" s="43">
        <f t="shared" si="4"/>
        <v>1.080107677</v>
      </c>
    </row>
    <row r="51" ht="12.75" customHeight="1">
      <c r="A51" s="34">
        <v>49.0</v>
      </c>
      <c r="B51" s="41">
        <v>3728.0</v>
      </c>
      <c r="C51" s="41">
        <v>4474.0</v>
      </c>
      <c r="D51" s="41">
        <v>4474.0</v>
      </c>
      <c r="E51" s="41">
        <v>4847.0</v>
      </c>
      <c r="F51" s="41">
        <v>4847.0</v>
      </c>
      <c r="G51" s="45">
        <v>4971.0</v>
      </c>
      <c r="H51" s="41">
        <v>4971.0</v>
      </c>
      <c r="I51" s="41">
        <v>5593.0</v>
      </c>
      <c r="J51" s="45">
        <v>6214.0</v>
      </c>
      <c r="K51" s="41">
        <v>5214.0</v>
      </c>
      <c r="L51" s="45">
        <v>6338.0</v>
      </c>
      <c r="M51" s="41">
        <v>6711.0</v>
      </c>
      <c r="N51" s="41">
        <v>6711.0</v>
      </c>
      <c r="O51" s="45">
        <v>7457.0</v>
      </c>
      <c r="P51" s="41">
        <v>9694.0</v>
      </c>
      <c r="Q51" s="41">
        <v>11186.0</v>
      </c>
      <c r="R51" s="41">
        <v>12429.0</v>
      </c>
      <c r="S51" s="41">
        <v>13671.0</v>
      </c>
      <c r="T51" s="45">
        <v>14914.0</v>
      </c>
      <c r="U51" s="41">
        <v>13671.0</v>
      </c>
      <c r="V51" s="41">
        <v>14914.0</v>
      </c>
      <c r="W51" s="45">
        <v>18643.0</v>
      </c>
      <c r="X51" s="41">
        <v>18643.0</v>
      </c>
      <c r="Y51" s="41">
        <v>19140.0</v>
      </c>
      <c r="Z51" s="45">
        <v>19886.0</v>
      </c>
      <c r="AA51" s="41">
        <v>22372.0</v>
      </c>
      <c r="AB51" s="41">
        <v>22372.0</v>
      </c>
      <c r="AC51" s="41">
        <v>22372.0</v>
      </c>
      <c r="AD51" s="45">
        <v>24858.0</v>
      </c>
      <c r="AE51" s="41">
        <v>24858.0</v>
      </c>
      <c r="AF51" s="41">
        <v>27343.0</v>
      </c>
      <c r="AG51" s="41">
        <v>27343.0</v>
      </c>
      <c r="AI51" s="41">
        <v>31072.0</v>
      </c>
      <c r="AJ51" s="45">
        <v>31072.0</v>
      </c>
      <c r="AL51" s="45">
        <v>44744.0</v>
      </c>
      <c r="AN51" s="45">
        <v>74574.0</v>
      </c>
      <c r="AO51" s="40"/>
      <c r="AR51" s="23">
        <f t="shared" si="2"/>
        <v>13810</v>
      </c>
      <c r="AT51" s="23">
        <f t="shared" si="3"/>
        <v>9310</v>
      </c>
      <c r="AV51" s="43">
        <f t="shared" si="4"/>
        <v>1.080139223</v>
      </c>
    </row>
    <row r="52" ht="12.75" customHeight="1">
      <c r="A52" s="34">
        <v>50.0</v>
      </c>
      <c r="B52" s="41">
        <v>3929.0</v>
      </c>
      <c r="C52" s="41">
        <v>4715.0</v>
      </c>
      <c r="D52" s="41">
        <v>4715.0</v>
      </c>
      <c r="E52" s="41">
        <v>5108.0</v>
      </c>
      <c r="F52" s="41">
        <v>5108.0</v>
      </c>
      <c r="G52" s="41">
        <v>5239.0</v>
      </c>
      <c r="H52" s="41">
        <v>5239.0</v>
      </c>
      <c r="I52" s="41">
        <v>5894.0</v>
      </c>
      <c r="J52" s="41">
        <v>6549.0</v>
      </c>
      <c r="K52" s="41">
        <v>6549.0</v>
      </c>
      <c r="L52" s="41">
        <v>6680.0</v>
      </c>
      <c r="M52" s="41">
        <v>7073.0</v>
      </c>
      <c r="N52" s="41">
        <v>7073.0</v>
      </c>
      <c r="O52" s="41">
        <v>7859.0</v>
      </c>
      <c r="P52" s="41">
        <v>10217.0</v>
      </c>
      <c r="Q52" s="41">
        <v>11789.0</v>
      </c>
      <c r="R52" s="41">
        <v>13098.0</v>
      </c>
      <c r="S52" s="41">
        <v>14408.0</v>
      </c>
      <c r="T52" s="41">
        <v>15718.0</v>
      </c>
      <c r="U52" s="41">
        <v>15718.0</v>
      </c>
      <c r="V52" s="41">
        <v>15718.0</v>
      </c>
      <c r="W52" s="41">
        <v>19648.0</v>
      </c>
      <c r="X52" s="41">
        <v>19648.0</v>
      </c>
      <c r="Y52" s="41">
        <v>20172.0</v>
      </c>
      <c r="Z52" s="45">
        <v>20958.0</v>
      </c>
      <c r="AA52" s="41">
        <v>23578.0</v>
      </c>
      <c r="AB52" s="41">
        <v>23578.0</v>
      </c>
      <c r="AC52" s="41">
        <v>23578.0</v>
      </c>
      <c r="AD52" s="41">
        <v>26197.0</v>
      </c>
      <c r="AE52" s="41">
        <v>26197.0</v>
      </c>
      <c r="AF52" s="41">
        <v>28817.0</v>
      </c>
      <c r="AG52" s="41">
        <v>28817.0</v>
      </c>
      <c r="AH52" s="41">
        <v>31437.0</v>
      </c>
      <c r="AI52" s="41">
        <v>32747.0</v>
      </c>
      <c r="AJ52" s="41">
        <v>32747.0</v>
      </c>
      <c r="AK52" s="41">
        <v>47156.0</v>
      </c>
      <c r="AL52" s="41">
        <v>47156.0</v>
      </c>
      <c r="AM52" s="41">
        <v>78593.0</v>
      </c>
      <c r="AN52" s="41">
        <v>78593.0</v>
      </c>
      <c r="AO52" s="40"/>
      <c r="AR52" s="23">
        <f>AN52/AW1</f>
        <v>14554.25926</v>
      </c>
      <c r="AT52" s="23">
        <f t="shared" si="3"/>
        <v>10054.25926</v>
      </c>
      <c r="AV52" s="43">
        <f t="shared" si="4"/>
        <v>1.079941918</v>
      </c>
    </row>
    <row r="53" ht="12.75" customHeight="1">
      <c r="A53" s="75">
        <v>51.0</v>
      </c>
      <c r="B53" s="45">
        <v>3997.0</v>
      </c>
      <c r="C53" s="45">
        <v>4797.0</v>
      </c>
      <c r="D53" s="45">
        <v>4797.0</v>
      </c>
      <c r="E53" s="45">
        <v>5197.0</v>
      </c>
      <c r="F53" s="45">
        <v>5197.0</v>
      </c>
      <c r="G53" s="45">
        <v>5330.0</v>
      </c>
      <c r="H53" s="45">
        <v>5330.0</v>
      </c>
      <c r="I53" s="45">
        <v>5996.0</v>
      </c>
      <c r="J53" s="45">
        <v>6662.0</v>
      </c>
      <c r="K53" s="45">
        <v>6662.0</v>
      </c>
      <c r="L53" s="45">
        <v>6796.0</v>
      </c>
      <c r="M53" s="45">
        <v>7195.0</v>
      </c>
      <c r="N53" s="45">
        <v>7195.0</v>
      </c>
      <c r="O53" s="45">
        <v>7995.0</v>
      </c>
      <c r="P53" s="45">
        <v>10394.0</v>
      </c>
      <c r="Q53" s="45">
        <v>11993.0</v>
      </c>
      <c r="R53" s="45">
        <v>13325.0</v>
      </c>
      <c r="S53" s="45">
        <v>14658.0</v>
      </c>
      <c r="T53" s="45">
        <v>15990.0</v>
      </c>
      <c r="U53" s="45">
        <v>15590.0</v>
      </c>
      <c r="V53" s="45">
        <v>15990.0</v>
      </c>
      <c r="W53" s="45">
        <v>19988.0</v>
      </c>
      <c r="X53" s="45">
        <v>19988.0</v>
      </c>
      <c r="Y53" s="45">
        <v>20521.0</v>
      </c>
      <c r="Z53" s="45">
        <v>21321.0</v>
      </c>
      <c r="AA53" s="45">
        <v>23986.0</v>
      </c>
      <c r="AB53" s="45">
        <v>23986.0</v>
      </c>
      <c r="AC53" s="45">
        <v>23986.0</v>
      </c>
      <c r="AD53" s="45">
        <v>26651.0</v>
      </c>
      <c r="AE53" s="45">
        <v>26651.0</v>
      </c>
      <c r="AF53" s="45">
        <v>29316.0</v>
      </c>
      <c r="AG53" s="45">
        <v>29316.0</v>
      </c>
      <c r="AH53" s="45">
        <v>31981.0</v>
      </c>
      <c r="AI53" s="45">
        <v>33314.0</v>
      </c>
      <c r="AJ53" s="45">
        <v>33314.0</v>
      </c>
      <c r="AK53" s="45">
        <v>47972.0</v>
      </c>
      <c r="AL53" s="45">
        <v>47972.0</v>
      </c>
      <c r="AM53" s="45">
        <v>79954.0</v>
      </c>
      <c r="AN53" s="45">
        <v>79954.0</v>
      </c>
      <c r="AO53" s="40"/>
      <c r="AR53" s="57">
        <f t="shared" ref="AR53:AR62" si="7">AN53/5.4</f>
        <v>14806.2963</v>
      </c>
      <c r="AS53" s="76"/>
      <c r="AT53" s="57">
        <f t="shared" si="3"/>
        <v>10306.2963</v>
      </c>
      <c r="AU53" s="76"/>
      <c r="AV53" s="77">
        <f t="shared" si="4"/>
        <v>1.025067688</v>
      </c>
    </row>
    <row r="54" ht="12.75" customHeight="1">
      <c r="A54" s="75">
        <v>52.0</v>
      </c>
      <c r="B54" s="45">
        <v>4067.0</v>
      </c>
      <c r="C54" s="45">
        <v>4880.0</v>
      </c>
      <c r="D54" s="45">
        <v>4880.0</v>
      </c>
      <c r="E54" s="45">
        <v>5287.0</v>
      </c>
      <c r="F54" s="45">
        <v>5289.0</v>
      </c>
      <c r="G54" s="45">
        <v>5422.0</v>
      </c>
      <c r="H54" s="45">
        <v>5422.0</v>
      </c>
      <c r="I54" s="45">
        <v>6100.0</v>
      </c>
      <c r="J54" s="45">
        <v>6778.0</v>
      </c>
      <c r="K54" s="45">
        <v>6778.0</v>
      </c>
      <c r="L54" s="45">
        <v>6913.0</v>
      </c>
      <c r="M54" s="45">
        <v>7320.0</v>
      </c>
      <c r="N54" s="45">
        <v>7320.0</v>
      </c>
      <c r="O54" s="45">
        <v>8134.0</v>
      </c>
      <c r="P54" s="45">
        <v>10574.0</v>
      </c>
      <c r="Q54" s="45">
        <v>12201.0</v>
      </c>
      <c r="R54" s="45">
        <v>13556.0</v>
      </c>
      <c r="S54" s="45">
        <v>14912.0</v>
      </c>
      <c r="T54" s="45">
        <v>16268.0</v>
      </c>
      <c r="U54" s="45">
        <v>16268.0</v>
      </c>
      <c r="V54" s="45">
        <v>16268.0</v>
      </c>
      <c r="W54" s="45">
        <v>20335.0</v>
      </c>
      <c r="X54" s="45">
        <v>20335.0</v>
      </c>
      <c r="Y54" s="45">
        <v>20877.0</v>
      </c>
      <c r="Z54" s="45">
        <v>21690.0</v>
      </c>
      <c r="AA54" s="45">
        <v>24402.0</v>
      </c>
      <c r="AB54" s="45">
        <v>24402.0</v>
      </c>
      <c r="AC54" s="45">
        <v>24402.0</v>
      </c>
      <c r="AD54" s="45">
        <v>27113.0</v>
      </c>
      <c r="AE54" s="45">
        <v>27113.0</v>
      </c>
      <c r="AF54" s="45">
        <v>29824.0</v>
      </c>
      <c r="AG54" s="45">
        <v>29824.0</v>
      </c>
      <c r="AH54" s="45">
        <v>32536.0</v>
      </c>
      <c r="AI54" s="45">
        <v>33891.0</v>
      </c>
      <c r="AJ54" s="45">
        <v>33891.0</v>
      </c>
      <c r="AK54" s="45">
        <v>48804.0</v>
      </c>
      <c r="AL54" s="45">
        <v>48804.0</v>
      </c>
      <c r="AM54" s="45">
        <v>81340.0</v>
      </c>
      <c r="AN54" s="45">
        <v>81340.0</v>
      </c>
      <c r="AO54" s="40"/>
      <c r="AR54" s="57">
        <f t="shared" si="7"/>
        <v>15062.96296</v>
      </c>
      <c r="AS54" s="76"/>
      <c r="AT54" s="57">
        <f t="shared" si="3"/>
        <v>10562.96296</v>
      </c>
      <c r="AU54" s="76"/>
      <c r="AV54" s="77">
        <f t="shared" si="4"/>
        <v>1.02490387</v>
      </c>
    </row>
    <row r="55" ht="12.75" customHeight="1">
      <c r="A55" s="75">
        <v>53.0</v>
      </c>
      <c r="B55" s="45">
        <v>4138.0</v>
      </c>
      <c r="C55" s="45">
        <v>4965.0</v>
      </c>
      <c r="D55" s="45">
        <v>4965.0</v>
      </c>
      <c r="E55" s="45">
        <v>5379.0</v>
      </c>
      <c r="F55" s="45">
        <v>5379.0</v>
      </c>
      <c r="G55" s="45">
        <v>5517.0</v>
      </c>
      <c r="H55" s="45">
        <v>5517.0</v>
      </c>
      <c r="I55" s="45">
        <v>6207.0</v>
      </c>
      <c r="J55" s="45">
        <v>6897.0</v>
      </c>
      <c r="K55" s="45">
        <v>6897.0</v>
      </c>
      <c r="L55" s="45">
        <v>7034.0</v>
      </c>
      <c r="M55" s="45">
        <v>7448.0</v>
      </c>
      <c r="N55" s="45">
        <v>7448.0</v>
      </c>
      <c r="O55" s="45">
        <v>8276.0</v>
      </c>
      <c r="P55" s="45">
        <v>10759.0</v>
      </c>
      <c r="Q55" s="45">
        <v>12414.0</v>
      </c>
      <c r="R55" s="45">
        <v>13794.0</v>
      </c>
      <c r="S55" s="45">
        <v>15173.0</v>
      </c>
      <c r="T55" s="45">
        <v>16552.0</v>
      </c>
      <c r="U55" s="45">
        <v>16552.0</v>
      </c>
      <c r="V55" s="45">
        <v>16552.0</v>
      </c>
      <c r="W55" s="45">
        <v>20691.0</v>
      </c>
      <c r="X55" s="45">
        <v>20691.0</v>
      </c>
      <c r="Y55" s="45">
        <v>21242.0</v>
      </c>
      <c r="Z55" s="45">
        <v>22070.0</v>
      </c>
      <c r="AA55" s="45">
        <v>24829.0</v>
      </c>
      <c r="AB55" s="45">
        <v>24829.0</v>
      </c>
      <c r="AC55" s="45">
        <v>24829.0</v>
      </c>
      <c r="AD55" s="45">
        <v>27588.0</v>
      </c>
      <c r="AE55" s="45">
        <v>27588.0</v>
      </c>
      <c r="AF55" s="45">
        <v>30346.0</v>
      </c>
      <c r="AG55" s="45">
        <v>30346.0</v>
      </c>
      <c r="AH55" s="45">
        <v>33105.0</v>
      </c>
      <c r="AI55" s="45">
        <v>34485.0</v>
      </c>
      <c r="AJ55" s="45">
        <v>34485.0</v>
      </c>
      <c r="AK55" s="45">
        <v>49658.0</v>
      </c>
      <c r="AL55" s="45">
        <v>49658.0</v>
      </c>
      <c r="AM55" s="45">
        <v>82764.0</v>
      </c>
      <c r="AN55" s="45">
        <v>82764.0</v>
      </c>
      <c r="AO55" s="40"/>
      <c r="AR55" s="57">
        <f t="shared" si="7"/>
        <v>15326.66667</v>
      </c>
      <c r="AS55" s="76"/>
      <c r="AT55" s="57">
        <f t="shared" si="3"/>
        <v>10826.66667</v>
      </c>
      <c r="AU55" s="76"/>
      <c r="AV55" s="77">
        <f t="shared" si="4"/>
        <v>1.024964937</v>
      </c>
    </row>
    <row r="56" ht="12.75" customHeight="1">
      <c r="A56" s="75">
        <v>54.0</v>
      </c>
      <c r="B56" s="45">
        <v>4211.0</v>
      </c>
      <c r="C56" s="45">
        <v>5053.0</v>
      </c>
      <c r="D56" s="45">
        <v>5053.0</v>
      </c>
      <c r="E56" s="45">
        <v>5474.0</v>
      </c>
      <c r="F56" s="45">
        <v>5474.0</v>
      </c>
      <c r="G56" s="45">
        <v>5615.0</v>
      </c>
      <c r="H56" s="45">
        <v>5615.0</v>
      </c>
      <c r="I56" s="45">
        <v>6316.0</v>
      </c>
      <c r="J56" s="45">
        <v>7018.0</v>
      </c>
      <c r="K56" s="45">
        <v>7018.0</v>
      </c>
      <c r="L56" s="45">
        <v>7159.0</v>
      </c>
      <c r="M56" s="45">
        <v>7580.0</v>
      </c>
      <c r="N56" s="45">
        <v>7580.0</v>
      </c>
      <c r="O56" s="45">
        <v>8422.0</v>
      </c>
      <c r="P56" s="45">
        <v>10949.0</v>
      </c>
      <c r="Q56" s="45">
        <v>12633.0</v>
      </c>
      <c r="R56" s="45">
        <v>14037.0</v>
      </c>
      <c r="S56" s="45">
        <v>15441.0</v>
      </c>
      <c r="T56" s="45">
        <v>16845.0</v>
      </c>
      <c r="U56" s="45">
        <v>16845.0</v>
      </c>
      <c r="V56" s="45">
        <v>16845.0</v>
      </c>
      <c r="W56" s="45">
        <v>21056.0</v>
      </c>
      <c r="X56" s="45">
        <v>21056.0</v>
      </c>
      <c r="Y56" s="45">
        <v>21617.0</v>
      </c>
      <c r="AA56" s="45">
        <v>25267.0</v>
      </c>
      <c r="AB56" s="45">
        <v>25267.0</v>
      </c>
      <c r="AC56" s="45">
        <v>25267.0</v>
      </c>
      <c r="AD56" s="45">
        <v>28075.0</v>
      </c>
      <c r="AE56" s="45">
        <v>28075.0</v>
      </c>
      <c r="AF56" s="45">
        <v>30882.0</v>
      </c>
      <c r="AG56" s="45">
        <v>30882.0</v>
      </c>
      <c r="AH56" s="45">
        <v>33690.0</v>
      </c>
      <c r="AI56" s="45">
        <v>35094.0</v>
      </c>
      <c r="AJ56" s="45">
        <v>35094.0</v>
      </c>
      <c r="AK56" s="45">
        <v>50535.0</v>
      </c>
      <c r="AL56" s="45">
        <v>50535.0</v>
      </c>
      <c r="AM56" s="45">
        <v>84225.0</v>
      </c>
      <c r="AN56" s="45">
        <v>84225.0</v>
      </c>
      <c r="AO56" s="40"/>
      <c r="AR56" s="57">
        <f t="shared" si="7"/>
        <v>15597.22222</v>
      </c>
      <c r="AS56" s="76"/>
      <c r="AT56" s="57">
        <f t="shared" si="3"/>
        <v>11097.22222</v>
      </c>
      <c r="AU56" s="76"/>
      <c r="AV56" s="77">
        <f t="shared" si="4"/>
        <v>1.024989737</v>
      </c>
    </row>
    <row r="57" ht="12.75" customHeight="1">
      <c r="A57" s="75">
        <v>55.0</v>
      </c>
      <c r="B57" s="45">
        <v>4286.0</v>
      </c>
      <c r="C57" s="45"/>
      <c r="D57" s="45">
        <v>5143.0</v>
      </c>
      <c r="E57" s="45">
        <v>5572.0</v>
      </c>
      <c r="F57" s="45">
        <v>5572.0</v>
      </c>
      <c r="G57" s="45">
        <v>5715.0</v>
      </c>
      <c r="H57" s="45">
        <v>5715.0</v>
      </c>
      <c r="I57" s="45">
        <v>6429.0</v>
      </c>
      <c r="J57" s="45">
        <v>7143.0</v>
      </c>
      <c r="K57" s="45">
        <v>7143.0</v>
      </c>
      <c r="L57" s="45">
        <v>7286.0</v>
      </c>
      <c r="M57" s="45">
        <v>7715.0</v>
      </c>
      <c r="N57" s="45">
        <v>7715.0</v>
      </c>
      <c r="O57" s="45">
        <v>8572.0</v>
      </c>
      <c r="P57" s="45">
        <v>11144.0</v>
      </c>
      <c r="Q57" s="45">
        <v>12858.0</v>
      </c>
      <c r="R57" s="45">
        <v>14287.0</v>
      </c>
      <c r="S57" s="45">
        <v>15716.0</v>
      </c>
      <c r="T57" s="45">
        <v>17145.0</v>
      </c>
      <c r="U57" s="45">
        <v>17145.0</v>
      </c>
      <c r="V57" s="45">
        <v>17145.0</v>
      </c>
      <c r="W57" s="45">
        <v>21431.0</v>
      </c>
      <c r="X57" s="45">
        <v>21431.0</v>
      </c>
      <c r="Y57" s="45">
        <v>22002.0</v>
      </c>
      <c r="AA57" s="45">
        <v>25717.0</v>
      </c>
      <c r="AB57" s="45">
        <v>25717.0</v>
      </c>
      <c r="AC57" s="45">
        <v>25717.0</v>
      </c>
      <c r="AD57" s="45">
        <v>28575.0</v>
      </c>
      <c r="AE57" s="45">
        <v>28575.0</v>
      </c>
      <c r="AF57" s="45">
        <v>31432.0</v>
      </c>
      <c r="AG57" s="45">
        <v>31432.0</v>
      </c>
      <c r="AH57" s="45">
        <v>34290.0</v>
      </c>
      <c r="AI57" s="45">
        <v>35718.0</v>
      </c>
      <c r="AJ57" s="45">
        <v>35718.0</v>
      </c>
      <c r="AK57" s="45">
        <v>51435.0</v>
      </c>
      <c r="AL57" s="45">
        <v>51435.0</v>
      </c>
      <c r="AM57" s="45">
        <v>85725.0</v>
      </c>
      <c r="AN57" s="45">
        <v>85725.0</v>
      </c>
      <c r="AO57" s="40"/>
      <c r="AR57" s="57">
        <f t="shared" si="7"/>
        <v>15875</v>
      </c>
      <c r="AS57" s="76"/>
      <c r="AT57" s="57">
        <f t="shared" si="3"/>
        <v>11375</v>
      </c>
      <c r="AU57" s="76"/>
      <c r="AV57" s="77">
        <f t="shared" si="4"/>
        <v>1.025031289</v>
      </c>
    </row>
    <row r="58" ht="12.75" customHeight="1">
      <c r="A58" s="75">
        <v>56.0</v>
      </c>
      <c r="J58" s="45">
        <v>7271.0</v>
      </c>
      <c r="L58" s="45">
        <v>7417.0</v>
      </c>
      <c r="R58" s="45">
        <v>14543.0</v>
      </c>
      <c r="AC58" s="45">
        <v>26178.0</v>
      </c>
      <c r="AG58" s="45">
        <v>31996.0</v>
      </c>
      <c r="AJ58" s="45">
        <v>36359.0</v>
      </c>
      <c r="AL58" s="45">
        <v>52357.0</v>
      </c>
      <c r="AN58" s="45">
        <v>87262.0</v>
      </c>
      <c r="AO58" s="40"/>
      <c r="AR58" s="57">
        <f t="shared" si="7"/>
        <v>16159.62963</v>
      </c>
      <c r="AS58" s="76"/>
      <c r="AT58" s="57">
        <f t="shared" si="3"/>
        <v>11659.62963</v>
      </c>
      <c r="AU58" s="76"/>
      <c r="AV58" s="77">
        <f t="shared" si="4"/>
        <v>1.025022385</v>
      </c>
    </row>
    <row r="59" ht="12.75" customHeight="1">
      <c r="A59" s="75">
        <v>57.0</v>
      </c>
      <c r="J59" s="45">
        <v>7403.0</v>
      </c>
      <c r="L59" s="45">
        <v>7551.0</v>
      </c>
      <c r="R59" s="45">
        <v>14806.0</v>
      </c>
      <c r="AC59" s="45">
        <v>26651.0</v>
      </c>
      <c r="AG59" s="45">
        <v>32573.0</v>
      </c>
      <c r="AJ59" s="45">
        <v>37015.0</v>
      </c>
      <c r="AL59" s="45">
        <v>53302.0</v>
      </c>
      <c r="AN59" s="45">
        <v>88837.0</v>
      </c>
      <c r="AO59" s="40"/>
      <c r="AR59" s="57">
        <f t="shared" si="7"/>
        <v>16451.2963</v>
      </c>
      <c r="AS59" s="76"/>
      <c r="AT59" s="57">
        <f t="shared" si="3"/>
        <v>11951.2963</v>
      </c>
      <c r="AU59" s="76"/>
      <c r="AV59" s="77">
        <f t="shared" si="4"/>
        <v>1.025015088</v>
      </c>
    </row>
    <row r="60" ht="12.75" customHeight="1">
      <c r="A60" s="75">
        <v>58.0</v>
      </c>
      <c r="J60" s="45">
        <v>7537.0</v>
      </c>
      <c r="L60" s="45">
        <v>7688.0</v>
      </c>
      <c r="R60" s="45">
        <v>15075.0</v>
      </c>
      <c r="AC60" s="45">
        <v>27135.0</v>
      </c>
      <c r="AG60" s="45">
        <v>33165.0</v>
      </c>
      <c r="AJ60" s="45">
        <v>37687.0</v>
      </c>
      <c r="AL60" s="45">
        <v>54270.0</v>
      </c>
      <c r="AN60" s="45">
        <v>90450.0</v>
      </c>
      <c r="AO60" s="40"/>
      <c r="AR60" s="57">
        <f t="shared" si="7"/>
        <v>16750</v>
      </c>
      <c r="AS60" s="76"/>
      <c r="AT60" s="57">
        <f t="shared" si="3"/>
        <v>12250</v>
      </c>
      <c r="AU60" s="76"/>
      <c r="AV60" s="77">
        <f t="shared" si="4"/>
        <v>1.024993415</v>
      </c>
    </row>
    <row r="61" ht="12.75" customHeight="1">
      <c r="A61" s="75">
        <v>59.0</v>
      </c>
      <c r="J61" s="45">
        <v>7675.0</v>
      </c>
      <c r="L61" s="45">
        <v>7828.0</v>
      </c>
      <c r="R61" s="45">
        <v>15350.0</v>
      </c>
      <c r="AC61" s="45">
        <v>27630.0</v>
      </c>
      <c r="AG61" s="45">
        <v>33770.0</v>
      </c>
      <c r="AJ61" s="45">
        <v>38375.0</v>
      </c>
      <c r="AL61" s="45">
        <v>55260.0</v>
      </c>
      <c r="AN61" s="45">
        <v>92100.0</v>
      </c>
      <c r="AO61" s="40"/>
      <c r="AR61" s="57">
        <f t="shared" si="7"/>
        <v>17055.55556</v>
      </c>
      <c r="AS61" s="76"/>
      <c r="AT61" s="57">
        <f t="shared" si="3"/>
        <v>12555.55556</v>
      </c>
      <c r="AU61" s="76"/>
      <c r="AV61" s="77">
        <f t="shared" si="4"/>
        <v>1.024943311</v>
      </c>
    </row>
    <row r="62" ht="12.75" customHeight="1">
      <c r="A62" s="75">
        <v>60.0</v>
      </c>
      <c r="J62" s="45">
        <v>7816.0</v>
      </c>
      <c r="L62" s="45">
        <v>7973.0</v>
      </c>
      <c r="R62" s="45">
        <v>15633.0</v>
      </c>
      <c r="AC62" s="45">
        <v>28140.0</v>
      </c>
      <c r="AG62" s="45">
        <v>34393.0</v>
      </c>
      <c r="AJ62" s="45">
        <v>39084.0</v>
      </c>
      <c r="AL62" s="45">
        <v>56280.0</v>
      </c>
      <c r="AN62" s="45">
        <v>93801.0</v>
      </c>
      <c r="AO62" s="40"/>
      <c r="AR62" s="57">
        <f t="shared" si="7"/>
        <v>17370.55556</v>
      </c>
      <c r="AS62" s="76"/>
      <c r="AT62" s="57">
        <f t="shared" si="3"/>
        <v>12870.55556</v>
      </c>
      <c r="AU62" s="76"/>
      <c r="AV62" s="77">
        <f t="shared" si="4"/>
        <v>1.025088496</v>
      </c>
    </row>
    <row r="63" ht="12.75" customHeight="1">
      <c r="A63" s="75">
        <v>61.0</v>
      </c>
      <c r="AT63" s="80">
        <f t="shared" ref="AT63:AT101" si="8">AT62*1.025</f>
        <v>13192.31944</v>
      </c>
      <c r="AV63" s="81">
        <f t="shared" si="4"/>
        <v>1.025</v>
      </c>
    </row>
    <row r="64" ht="12.75" customHeight="1">
      <c r="A64" s="75">
        <v>62.0</v>
      </c>
      <c r="AT64" s="80">
        <f t="shared" si="8"/>
        <v>13522.12743</v>
      </c>
      <c r="AV64" s="81">
        <f t="shared" si="4"/>
        <v>1.025</v>
      </c>
    </row>
    <row r="65" ht="12.75" customHeight="1">
      <c r="A65" s="75">
        <v>63.0</v>
      </c>
      <c r="AT65" s="80">
        <f t="shared" si="8"/>
        <v>13860.18062</v>
      </c>
      <c r="AV65" s="81">
        <f t="shared" si="4"/>
        <v>1.025</v>
      </c>
    </row>
    <row r="66" ht="12.75" customHeight="1">
      <c r="A66" s="75">
        <v>64.0</v>
      </c>
      <c r="AT66" s="80">
        <f t="shared" si="8"/>
        <v>14206.68513</v>
      </c>
      <c r="AV66" s="81">
        <f t="shared" si="4"/>
        <v>1.025</v>
      </c>
    </row>
    <row r="67" ht="12.75" customHeight="1">
      <c r="A67" s="75">
        <v>65.0</v>
      </c>
      <c r="AT67" s="80">
        <f t="shared" si="8"/>
        <v>14561.85226</v>
      </c>
      <c r="AV67" s="81">
        <f t="shared" si="4"/>
        <v>1.025</v>
      </c>
    </row>
    <row r="68" ht="12.75" customHeight="1">
      <c r="A68" s="75">
        <v>66.0</v>
      </c>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80">
        <f t="shared" si="8"/>
        <v>14925.89857</v>
      </c>
      <c r="AU68" s="45"/>
      <c r="AV68" s="81">
        <f t="shared" si="4"/>
        <v>1.025</v>
      </c>
      <c r="AW68" s="45"/>
      <c r="AX68" s="45"/>
      <c r="AY68" s="45"/>
      <c r="AZ68" s="45"/>
      <c r="BA68" s="45"/>
      <c r="BB68" s="45"/>
      <c r="BC68" s="45"/>
      <c r="BD68" s="45"/>
      <c r="BE68" s="45"/>
      <c r="BF68" s="45"/>
      <c r="BG68" s="45"/>
      <c r="BH68" s="45"/>
      <c r="BI68" s="45"/>
    </row>
    <row r="69" ht="12.75" customHeight="1">
      <c r="A69" s="75">
        <v>67.0</v>
      </c>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80">
        <f t="shared" si="8"/>
        <v>15299.04603</v>
      </c>
      <c r="AU69" s="45"/>
      <c r="AV69" s="81">
        <f t="shared" si="4"/>
        <v>1.025</v>
      </c>
      <c r="AW69" s="45"/>
      <c r="AX69" s="45"/>
      <c r="AY69" s="45"/>
      <c r="AZ69" s="45"/>
      <c r="BA69" s="45"/>
      <c r="BB69" s="45"/>
      <c r="BC69" s="45"/>
      <c r="BD69" s="45"/>
      <c r="BE69" s="45"/>
      <c r="BF69" s="45"/>
      <c r="BG69" s="45"/>
      <c r="BH69" s="45"/>
      <c r="BI69" s="45"/>
    </row>
    <row r="70" ht="12.75" customHeight="1">
      <c r="A70" s="75">
        <v>68.0</v>
      </c>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80">
        <f t="shared" si="8"/>
        <v>15681.52218</v>
      </c>
      <c r="AU70" s="45"/>
      <c r="AV70" s="81">
        <f t="shared" si="4"/>
        <v>1.025</v>
      </c>
      <c r="AW70" s="45"/>
      <c r="AX70" s="45"/>
      <c r="AY70" s="45"/>
      <c r="AZ70" s="45"/>
      <c r="BA70" s="45"/>
      <c r="BB70" s="45"/>
      <c r="BC70" s="45"/>
      <c r="BD70" s="45"/>
      <c r="BE70" s="45"/>
      <c r="BF70" s="45"/>
      <c r="BG70" s="45"/>
      <c r="BH70" s="45"/>
      <c r="BI70" s="45"/>
    </row>
    <row r="71" ht="12.75" customHeight="1">
      <c r="A71" s="75">
        <v>69.0</v>
      </c>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80">
        <f t="shared" si="8"/>
        <v>16073.56024</v>
      </c>
      <c r="AU71" s="45"/>
      <c r="AV71" s="81">
        <f t="shared" si="4"/>
        <v>1.025</v>
      </c>
      <c r="AW71" s="45"/>
      <c r="AX71" s="45"/>
      <c r="AY71" s="45"/>
      <c r="AZ71" s="45"/>
      <c r="BA71" s="45"/>
      <c r="BB71" s="45"/>
      <c r="BC71" s="45"/>
      <c r="BD71" s="45"/>
      <c r="BE71" s="45"/>
      <c r="BF71" s="45"/>
      <c r="BG71" s="45"/>
      <c r="BH71" s="45"/>
      <c r="BI71" s="45"/>
    </row>
    <row r="72" ht="12.75" customHeight="1">
      <c r="A72" s="75">
        <v>70.0</v>
      </c>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80">
        <f t="shared" si="8"/>
        <v>16475.39924</v>
      </c>
      <c r="AU72" s="45"/>
      <c r="AV72" s="81">
        <f t="shared" si="4"/>
        <v>1.025</v>
      </c>
      <c r="AW72" s="45"/>
      <c r="AX72" s="45"/>
      <c r="AY72" s="45"/>
      <c r="AZ72" s="45"/>
      <c r="BA72" s="45"/>
      <c r="BB72" s="45"/>
      <c r="BC72" s="45"/>
      <c r="BD72" s="45"/>
      <c r="BE72" s="45"/>
      <c r="BF72" s="45"/>
      <c r="BG72" s="45"/>
      <c r="BH72" s="45"/>
      <c r="BI72" s="45"/>
    </row>
    <row r="73" ht="12.75" customHeight="1">
      <c r="A73" s="75">
        <v>71.0</v>
      </c>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80">
        <f t="shared" si="8"/>
        <v>16887.28422</v>
      </c>
      <c r="AU73" s="45"/>
      <c r="AV73" s="81">
        <f t="shared" si="4"/>
        <v>1.025</v>
      </c>
      <c r="AW73" s="45"/>
      <c r="AX73" s="45"/>
      <c r="AY73" s="45"/>
      <c r="AZ73" s="45"/>
      <c r="BA73" s="45"/>
      <c r="BB73" s="45"/>
      <c r="BC73" s="45"/>
      <c r="BD73" s="45"/>
      <c r="BE73" s="45"/>
      <c r="BF73" s="45"/>
      <c r="BG73" s="45"/>
      <c r="BH73" s="45"/>
      <c r="BI73" s="45"/>
    </row>
    <row r="74" ht="12.75" customHeight="1">
      <c r="A74" s="75">
        <v>72.0</v>
      </c>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80">
        <f t="shared" si="8"/>
        <v>17309.46633</v>
      </c>
      <c r="AU74" s="45"/>
      <c r="AV74" s="81">
        <f t="shared" si="4"/>
        <v>1.025</v>
      </c>
      <c r="AW74" s="45"/>
      <c r="AX74" s="45"/>
      <c r="AY74" s="45"/>
      <c r="AZ74" s="45"/>
      <c r="BA74" s="45"/>
      <c r="BB74" s="45"/>
      <c r="BC74" s="45"/>
      <c r="BD74" s="45"/>
      <c r="BE74" s="45"/>
      <c r="BF74" s="45"/>
      <c r="BG74" s="45"/>
      <c r="BH74" s="45"/>
      <c r="BI74" s="45"/>
    </row>
    <row r="75" ht="12.75" customHeight="1">
      <c r="A75" s="75">
        <v>73.0</v>
      </c>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80">
        <f t="shared" si="8"/>
        <v>17742.20299</v>
      </c>
      <c r="AU75" s="45"/>
      <c r="AV75" s="81">
        <f t="shared" si="4"/>
        <v>1.025</v>
      </c>
      <c r="AW75" s="45"/>
      <c r="AX75" s="45"/>
      <c r="AY75" s="45"/>
      <c r="AZ75" s="45"/>
      <c r="BA75" s="45"/>
      <c r="BB75" s="45"/>
      <c r="BC75" s="45"/>
      <c r="BD75" s="45"/>
      <c r="BE75" s="45"/>
      <c r="BF75" s="45"/>
      <c r="BG75" s="45"/>
      <c r="BH75" s="45"/>
      <c r="BI75" s="45"/>
    </row>
    <row r="76" ht="12.75" customHeight="1">
      <c r="A76" s="75">
        <v>74.0</v>
      </c>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80">
        <f t="shared" si="8"/>
        <v>18185.75806</v>
      </c>
      <c r="AU76" s="45"/>
      <c r="AV76" s="81">
        <f t="shared" si="4"/>
        <v>1.025</v>
      </c>
      <c r="AW76" s="45"/>
      <c r="AX76" s="45"/>
      <c r="AY76" s="45"/>
      <c r="AZ76" s="45"/>
      <c r="BA76" s="45"/>
      <c r="BB76" s="45"/>
      <c r="BC76" s="45"/>
      <c r="BD76" s="45"/>
      <c r="BE76" s="45"/>
      <c r="BF76" s="45"/>
      <c r="BG76" s="45"/>
      <c r="BH76" s="45"/>
      <c r="BI76" s="45"/>
    </row>
    <row r="77" ht="12.75" customHeight="1">
      <c r="A77" s="75">
        <v>75.0</v>
      </c>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80">
        <f t="shared" si="8"/>
        <v>18640.40201</v>
      </c>
      <c r="AU77" s="45"/>
      <c r="AV77" s="81">
        <f t="shared" si="4"/>
        <v>1.025</v>
      </c>
      <c r="AW77" s="45"/>
      <c r="AX77" s="45"/>
      <c r="AY77" s="45"/>
      <c r="AZ77" s="45"/>
      <c r="BA77" s="45"/>
      <c r="BB77" s="45"/>
      <c r="BC77" s="45"/>
      <c r="BD77" s="45"/>
      <c r="BE77" s="45"/>
      <c r="BF77" s="45"/>
      <c r="BG77" s="45"/>
      <c r="BH77" s="45"/>
      <c r="BI77" s="45"/>
    </row>
    <row r="78" ht="12.75" customHeight="1">
      <c r="A78" s="75">
        <v>76.0</v>
      </c>
      <c r="AT78" s="80">
        <f t="shared" si="8"/>
        <v>19106.41206</v>
      </c>
      <c r="AV78" s="81">
        <f t="shared" si="4"/>
        <v>1.025</v>
      </c>
    </row>
    <row r="79" ht="12.75" customHeight="1">
      <c r="A79" s="75">
        <v>77.0</v>
      </c>
      <c r="AT79" s="80">
        <f t="shared" si="8"/>
        <v>19584.07236</v>
      </c>
      <c r="AV79" s="81">
        <f t="shared" si="4"/>
        <v>1.025</v>
      </c>
    </row>
    <row r="80" ht="12.75" customHeight="1">
      <c r="A80" s="75">
        <v>78.0</v>
      </c>
      <c r="AT80" s="80">
        <f t="shared" si="8"/>
        <v>20073.67417</v>
      </c>
      <c r="AV80" s="81">
        <f t="shared" si="4"/>
        <v>1.025</v>
      </c>
    </row>
    <row r="81" ht="12.75" customHeight="1">
      <c r="A81" s="75">
        <v>79.0</v>
      </c>
      <c r="AT81" s="80">
        <f t="shared" si="8"/>
        <v>20575.51603</v>
      </c>
      <c r="AV81" s="81">
        <f t="shared" si="4"/>
        <v>1.025</v>
      </c>
    </row>
    <row r="82" ht="12.75" customHeight="1">
      <c r="A82" s="75">
        <v>80.0</v>
      </c>
      <c r="AT82" s="80">
        <f t="shared" si="8"/>
        <v>21089.90393</v>
      </c>
      <c r="AV82" s="81">
        <f t="shared" si="4"/>
        <v>1.025</v>
      </c>
    </row>
    <row r="83" ht="12.75" customHeight="1">
      <c r="A83" s="75">
        <v>81.0</v>
      </c>
      <c r="AT83" s="80">
        <f t="shared" si="8"/>
        <v>21617.15153</v>
      </c>
      <c r="AV83" s="81">
        <f t="shared" si="4"/>
        <v>1.025</v>
      </c>
    </row>
    <row r="84" ht="12.75" customHeight="1">
      <c r="A84" s="75">
        <v>82.0</v>
      </c>
      <c r="AT84" s="80">
        <f t="shared" si="8"/>
        <v>22157.58032</v>
      </c>
      <c r="AV84" s="81">
        <f t="shared" si="4"/>
        <v>1.025</v>
      </c>
    </row>
    <row r="85" ht="12.75" customHeight="1">
      <c r="A85" s="75">
        <v>83.0</v>
      </c>
      <c r="AT85" s="80">
        <f t="shared" si="8"/>
        <v>22711.51982</v>
      </c>
      <c r="AV85" s="81">
        <f t="shared" si="4"/>
        <v>1.025</v>
      </c>
    </row>
    <row r="86" ht="12.75" customHeight="1">
      <c r="A86" s="75">
        <v>84.0</v>
      </c>
      <c r="AT86" s="80">
        <f t="shared" si="8"/>
        <v>23279.30782</v>
      </c>
      <c r="AV86" s="81">
        <f t="shared" si="4"/>
        <v>1.025</v>
      </c>
    </row>
    <row r="87" ht="12.75" customHeight="1">
      <c r="A87" s="75">
        <v>85.0</v>
      </c>
      <c r="AT87" s="80">
        <f t="shared" si="8"/>
        <v>23861.29051</v>
      </c>
      <c r="AV87" s="81">
        <f t="shared" si="4"/>
        <v>1.025</v>
      </c>
    </row>
    <row r="88" ht="12.75" customHeight="1">
      <c r="A88" s="75">
        <v>86.0</v>
      </c>
      <c r="AT88" s="80">
        <f t="shared" si="8"/>
        <v>24457.82278</v>
      </c>
      <c r="AV88" s="81">
        <f t="shared" si="4"/>
        <v>1.025</v>
      </c>
    </row>
    <row r="89" ht="12.75" customHeight="1">
      <c r="A89" s="75">
        <v>87.0</v>
      </c>
      <c r="AT89" s="80">
        <f t="shared" si="8"/>
        <v>25069.26835</v>
      </c>
      <c r="AV89" s="81">
        <f t="shared" si="4"/>
        <v>1.025</v>
      </c>
    </row>
    <row r="90" ht="12.75" customHeight="1">
      <c r="A90" s="75">
        <v>88.0</v>
      </c>
      <c r="AT90" s="80">
        <f t="shared" si="8"/>
        <v>25696.00006</v>
      </c>
      <c r="AV90" s="81">
        <f t="shared" si="4"/>
        <v>1.025</v>
      </c>
    </row>
    <row r="91" ht="12.75" customHeight="1">
      <c r="A91" s="75">
        <v>89.0</v>
      </c>
      <c r="AT91" s="80">
        <f t="shared" si="8"/>
        <v>26338.40006</v>
      </c>
      <c r="AV91" s="81">
        <f t="shared" si="4"/>
        <v>1.025</v>
      </c>
    </row>
    <row r="92" ht="12.75" customHeight="1">
      <c r="A92" s="75">
        <v>90.0</v>
      </c>
      <c r="AT92" s="80">
        <f t="shared" si="8"/>
        <v>26996.86006</v>
      </c>
      <c r="AV92" s="81">
        <f t="shared" si="4"/>
        <v>1.025</v>
      </c>
    </row>
    <row r="93" ht="12.75" customHeight="1">
      <c r="A93" s="75">
        <v>91.0</v>
      </c>
      <c r="AT93" s="80">
        <f t="shared" si="8"/>
        <v>27671.78156</v>
      </c>
      <c r="AV93" s="81">
        <f t="shared" si="4"/>
        <v>1.025</v>
      </c>
    </row>
    <row r="94" ht="12.75" customHeight="1">
      <c r="A94" s="75">
        <v>92.0</v>
      </c>
      <c r="AT94" s="80">
        <f t="shared" si="8"/>
        <v>28363.5761</v>
      </c>
      <c r="AV94" s="81">
        <f t="shared" si="4"/>
        <v>1.025</v>
      </c>
    </row>
    <row r="95" ht="12.75" customHeight="1">
      <c r="A95" s="75">
        <v>93.0</v>
      </c>
      <c r="AT95" s="80">
        <f t="shared" si="8"/>
        <v>29072.6655</v>
      </c>
      <c r="AV95" s="81">
        <f t="shared" si="4"/>
        <v>1.025</v>
      </c>
    </row>
    <row r="96" ht="12.75" customHeight="1">
      <c r="A96" s="75">
        <v>94.0</v>
      </c>
      <c r="AT96" s="80">
        <f t="shared" si="8"/>
        <v>29799.48214</v>
      </c>
      <c r="AV96" s="81">
        <f t="shared" si="4"/>
        <v>1.025</v>
      </c>
    </row>
    <row r="97" ht="12.75" customHeight="1">
      <c r="A97" s="75">
        <v>95.0</v>
      </c>
      <c r="AT97" s="80">
        <f t="shared" si="8"/>
        <v>30544.46919</v>
      </c>
      <c r="AV97" s="81">
        <f t="shared" si="4"/>
        <v>1.025</v>
      </c>
    </row>
    <row r="98" ht="12.75" customHeight="1">
      <c r="A98" s="75">
        <v>96.0</v>
      </c>
      <c r="AT98" s="80">
        <f t="shared" si="8"/>
        <v>31308.08092</v>
      </c>
      <c r="AV98" s="81">
        <f t="shared" si="4"/>
        <v>1.025</v>
      </c>
    </row>
    <row r="99" ht="12.75" customHeight="1">
      <c r="A99" s="75">
        <v>97.0</v>
      </c>
      <c r="AS99" s="9" t="s">
        <v>175</v>
      </c>
      <c r="AT99" s="80">
        <f t="shared" si="8"/>
        <v>32090.78294</v>
      </c>
      <c r="AV99" s="81">
        <f t="shared" si="4"/>
        <v>1.025</v>
      </c>
    </row>
    <row r="100" ht="12.75" customHeight="1">
      <c r="A100" s="75">
        <v>98.0</v>
      </c>
      <c r="AS100" s="9" t="s">
        <v>176</v>
      </c>
      <c r="AT100" s="80">
        <f t="shared" si="8"/>
        <v>32893.05252</v>
      </c>
      <c r="AV100" s="81">
        <f t="shared" si="4"/>
        <v>1.025</v>
      </c>
    </row>
    <row r="101" ht="12.75" customHeight="1">
      <c r="A101" s="75">
        <v>99.0</v>
      </c>
      <c r="AT101" s="80">
        <f t="shared" si="8"/>
        <v>33715.37883</v>
      </c>
      <c r="AV101" s="81">
        <f t="shared" si="4"/>
        <v>1.025</v>
      </c>
    </row>
    <row r="102" ht="12.75" customHeight="1">
      <c r="A102" s="75">
        <v>100.0</v>
      </c>
      <c r="AT102" s="92">
        <v>34997.744</v>
      </c>
      <c r="AV102" s="81">
        <f t="shared" si="4"/>
        <v>1.038035022</v>
      </c>
    </row>
    <row r="103" ht="12.75" customHeight="1">
      <c r="AU103" s="15" t="s">
        <v>151</v>
      </c>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printOptions/>
  <pageMargins bottom="0.7875" footer="0.0" header="0.0" left="0.7875" right="0.7875" top="0.78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2" width="11.5"/>
  </cols>
  <sheetData>
    <row r="1" ht="12.75" customHeight="1">
      <c r="A1" s="15" t="s">
        <v>172</v>
      </c>
      <c r="I1" s="78"/>
      <c r="J1" s="78"/>
      <c r="L1" s="88"/>
      <c r="M1" s="88"/>
      <c r="N1" s="88"/>
      <c r="O1" s="88"/>
      <c r="P1" s="88"/>
      <c r="Q1" s="88"/>
      <c r="R1" s="88"/>
      <c r="S1" s="88"/>
      <c r="T1" s="88"/>
      <c r="U1" s="88"/>
      <c r="V1" s="88"/>
    </row>
    <row r="2" ht="12.75" customHeight="1">
      <c r="A2" s="89" t="s">
        <v>173</v>
      </c>
      <c r="B2" s="90">
        <v>4500.0</v>
      </c>
      <c r="C2" s="90">
        <v>4502.0</v>
      </c>
      <c r="D2" s="90">
        <v>4504.0</v>
      </c>
      <c r="E2" s="90">
        <v>4506.0</v>
      </c>
      <c r="F2" s="90">
        <v>4508.0</v>
      </c>
      <c r="G2" s="90">
        <v>4510.0</v>
      </c>
      <c r="H2" s="90">
        <v>4514.0</v>
      </c>
      <c r="I2" s="91">
        <v>4518.0</v>
      </c>
      <c r="J2" s="91">
        <v>4520.0</v>
      </c>
      <c r="K2" s="91">
        <v>4530.0</v>
      </c>
      <c r="L2" s="91">
        <v>4540.0</v>
      </c>
      <c r="M2" s="91">
        <v>4556.0</v>
      </c>
      <c r="N2" s="91">
        <v>4560.0</v>
      </c>
      <c r="O2" s="91">
        <v>4564.0</v>
      </c>
      <c r="P2" s="91">
        <v>4566.0</v>
      </c>
      <c r="Q2" s="91">
        <v>4568.0</v>
      </c>
      <c r="R2" s="91">
        <v>4570.0</v>
      </c>
      <c r="S2" s="91">
        <v>4572.0</v>
      </c>
      <c r="T2" s="91">
        <v>4600.0</v>
      </c>
    </row>
    <row r="3" ht="12.75" customHeight="1">
      <c r="A3" s="39">
        <v>50.0</v>
      </c>
      <c r="B3" s="41">
        <v>78593.0</v>
      </c>
      <c r="C3" s="41">
        <v>78604.0</v>
      </c>
      <c r="D3" s="41">
        <v>78615.0</v>
      </c>
      <c r="E3" s="41">
        <v>78625.0</v>
      </c>
      <c r="F3" s="41">
        <v>78636.0</v>
      </c>
      <c r="G3" s="41">
        <v>78647.0</v>
      </c>
      <c r="H3" s="41">
        <v>78669.0</v>
      </c>
      <c r="I3" s="9">
        <v>78690.0</v>
      </c>
      <c r="J3" s="9">
        <v>78701.0</v>
      </c>
      <c r="K3" s="9">
        <v>78755.0</v>
      </c>
      <c r="L3" s="9">
        <v>78809.0</v>
      </c>
      <c r="M3" s="9">
        <v>78896.0</v>
      </c>
      <c r="N3" s="9">
        <v>78917.0</v>
      </c>
      <c r="O3" s="9">
        <v>78939.0</v>
      </c>
      <c r="P3" s="9">
        <v>78950.0</v>
      </c>
      <c r="Q3" s="9">
        <v>78960.0</v>
      </c>
      <c r="R3" s="9">
        <v>78971.0</v>
      </c>
      <c r="S3" s="9">
        <v>78982.0</v>
      </c>
      <c r="T3" s="9">
        <v>79133.0</v>
      </c>
    </row>
    <row r="4" ht="12.75" customHeight="1">
      <c r="A4" s="39">
        <v>51.0</v>
      </c>
      <c r="B4" s="41">
        <v>79954.0</v>
      </c>
      <c r="C4" s="41">
        <v>79965.0</v>
      </c>
      <c r="D4" s="41">
        <v>79975.0</v>
      </c>
      <c r="E4" s="41">
        <v>79986.0</v>
      </c>
      <c r="F4" s="41">
        <v>79997.0</v>
      </c>
      <c r="G4" s="41">
        <v>80008.0</v>
      </c>
      <c r="H4" s="41">
        <v>80029.0</v>
      </c>
      <c r="I4" s="9">
        <v>80051.0</v>
      </c>
      <c r="J4" s="9">
        <v>80062.0</v>
      </c>
      <c r="K4" s="9">
        <v>80116.0</v>
      </c>
      <c r="L4" s="9">
        <v>80170.0</v>
      </c>
      <c r="M4" s="9">
        <v>80256.0</v>
      </c>
      <c r="N4" s="9">
        <v>80278.0</v>
      </c>
      <c r="O4" s="9">
        <v>80300.0</v>
      </c>
      <c r="P4" s="9">
        <v>80310.0</v>
      </c>
      <c r="Q4" s="9">
        <v>80321.0</v>
      </c>
      <c r="R4" s="9">
        <v>80332.0</v>
      </c>
      <c r="S4" s="9">
        <v>80343.0</v>
      </c>
      <c r="T4" s="9">
        <v>80494.0</v>
      </c>
    </row>
    <row r="5" ht="12.75" customHeight="1">
      <c r="A5" s="39">
        <v>52.0</v>
      </c>
      <c r="B5" s="41">
        <v>81340.0</v>
      </c>
      <c r="C5" s="41">
        <v>81351.0</v>
      </c>
      <c r="D5" s="41">
        <v>81361.0</v>
      </c>
      <c r="E5" s="41">
        <v>81372.0</v>
      </c>
      <c r="F5" s="41">
        <v>81383.0</v>
      </c>
      <c r="G5" s="41">
        <v>81394.0</v>
      </c>
      <c r="H5" s="41">
        <v>81415.0</v>
      </c>
      <c r="I5" s="9">
        <v>81437.0</v>
      </c>
      <c r="J5" s="9">
        <v>81448.0</v>
      </c>
      <c r="K5" s="9">
        <v>81502.0</v>
      </c>
      <c r="L5" s="9">
        <v>81556.0</v>
      </c>
      <c r="M5" s="9">
        <v>81642.0</v>
      </c>
      <c r="N5" s="9">
        <v>81664.0</v>
      </c>
      <c r="O5" s="9">
        <v>81686.0</v>
      </c>
      <c r="P5" s="9">
        <v>81696.0</v>
      </c>
      <c r="Q5" s="9">
        <v>81707.0</v>
      </c>
      <c r="R5" s="9">
        <v>81718.0</v>
      </c>
      <c r="S5" s="9">
        <v>81729.0</v>
      </c>
      <c r="T5" s="9">
        <v>81880.0</v>
      </c>
    </row>
    <row r="6" ht="12.75" customHeight="1">
      <c r="A6" s="39">
        <v>53.0</v>
      </c>
      <c r="B6" s="41">
        <v>82764.0</v>
      </c>
      <c r="C6" s="41">
        <v>82774.0</v>
      </c>
      <c r="D6" s="41">
        <v>82785.0</v>
      </c>
      <c r="E6" s="41">
        <v>82796.0</v>
      </c>
      <c r="F6" s="41">
        <v>82807.0</v>
      </c>
      <c r="G6" s="41">
        <v>82818.0</v>
      </c>
      <c r="H6" s="41">
        <v>82839.0</v>
      </c>
      <c r="I6" s="9">
        <v>82861.0</v>
      </c>
      <c r="J6" s="9">
        <v>82872.0</v>
      </c>
      <c r="K6" s="9">
        <v>82926.0</v>
      </c>
      <c r="L6" s="9">
        <v>82980.0</v>
      </c>
      <c r="M6" s="9">
        <v>83066.0</v>
      </c>
      <c r="N6" s="9">
        <v>83088.0</v>
      </c>
      <c r="O6" s="9">
        <v>83109.0</v>
      </c>
      <c r="P6" s="9">
        <v>83120.0</v>
      </c>
      <c r="Q6" s="9">
        <v>83131.0</v>
      </c>
      <c r="R6" s="9">
        <v>83142.0</v>
      </c>
      <c r="S6" s="9">
        <v>83153.0</v>
      </c>
      <c r="T6" s="9">
        <v>83304.0</v>
      </c>
    </row>
    <row r="7" ht="12.75" customHeight="1">
      <c r="A7" s="39">
        <v>54.0</v>
      </c>
      <c r="B7" s="41">
        <v>84225.0</v>
      </c>
      <c r="C7" s="41">
        <v>84236.0</v>
      </c>
      <c r="D7" s="41">
        <v>84247.0</v>
      </c>
      <c r="E7" s="41">
        <v>84258.0</v>
      </c>
      <c r="F7" s="41">
        <v>84268.0</v>
      </c>
      <c r="G7" s="41">
        <v>84279.0</v>
      </c>
      <c r="H7" s="41">
        <v>84301.0</v>
      </c>
      <c r="I7" s="9">
        <v>84322.0</v>
      </c>
      <c r="J7" s="9">
        <v>84333.0</v>
      </c>
      <c r="K7" s="9">
        <v>84387.0</v>
      </c>
      <c r="L7" s="9">
        <v>84441.0</v>
      </c>
      <c r="M7" s="9">
        <v>84528.0</v>
      </c>
      <c r="N7" s="9">
        <v>84549.0</v>
      </c>
      <c r="O7" s="9">
        <v>84571.0</v>
      </c>
      <c r="P7" s="9">
        <v>84582.0</v>
      </c>
      <c r="Q7" s="9">
        <v>84593.0</v>
      </c>
      <c r="R7" s="9">
        <v>84603.0</v>
      </c>
      <c r="S7" s="9">
        <v>84614.0</v>
      </c>
      <c r="T7" s="9">
        <v>84766.0</v>
      </c>
    </row>
    <row r="8" ht="12.75" customHeight="1">
      <c r="A8" s="39">
        <v>55.0</v>
      </c>
      <c r="B8" s="41">
        <v>85725.0</v>
      </c>
      <c r="C8" s="41">
        <v>85735.0</v>
      </c>
      <c r="D8" s="41">
        <v>85746.0</v>
      </c>
      <c r="E8" s="41">
        <v>85757.0</v>
      </c>
      <c r="F8" s="41">
        <v>85768.0</v>
      </c>
      <c r="G8" s="41">
        <v>85779.0</v>
      </c>
      <c r="H8" s="41">
        <v>85800.0</v>
      </c>
      <c r="I8" s="9">
        <v>85822.0</v>
      </c>
      <c r="J8" s="9">
        <v>85833.0</v>
      </c>
      <c r="K8" s="9">
        <v>85887.0</v>
      </c>
      <c r="L8" s="9">
        <v>85941.0</v>
      </c>
      <c r="M8" s="9">
        <v>86027.0</v>
      </c>
      <c r="N8" s="9">
        <v>86049.0</v>
      </c>
      <c r="O8" s="9">
        <v>86070.0</v>
      </c>
      <c r="P8" s="9">
        <v>86081.0</v>
      </c>
      <c r="Q8" s="9">
        <v>86092.0</v>
      </c>
      <c r="R8" s="9">
        <v>86103.0</v>
      </c>
      <c r="S8" s="9">
        <v>86114.0</v>
      </c>
      <c r="T8" s="9">
        <v>86265.0</v>
      </c>
    </row>
    <row r="9" ht="12.75" customHeight="1">
      <c r="A9" s="39">
        <v>56.0</v>
      </c>
      <c r="B9" s="41">
        <v>87262.0</v>
      </c>
      <c r="C9" s="41">
        <v>87273.0</v>
      </c>
      <c r="D9" s="41">
        <v>87283.0</v>
      </c>
      <c r="E9" s="41">
        <v>87294.0</v>
      </c>
      <c r="F9" s="41">
        <v>87305.0</v>
      </c>
      <c r="G9" s="41">
        <v>87316.0</v>
      </c>
      <c r="H9" s="41">
        <v>87337.0</v>
      </c>
      <c r="I9" s="9">
        <v>87359.0</v>
      </c>
      <c r="J9" s="9">
        <v>87370.0</v>
      </c>
      <c r="K9" s="9">
        <v>87424.0</v>
      </c>
      <c r="L9" s="9">
        <v>87478.0</v>
      </c>
      <c r="M9" s="9">
        <v>87564.0</v>
      </c>
      <c r="N9" s="9">
        <v>87586.0</v>
      </c>
      <c r="O9" s="9">
        <v>87608.0</v>
      </c>
      <c r="P9" s="9">
        <v>87618.0</v>
      </c>
      <c r="Q9" s="9">
        <v>87629.0</v>
      </c>
      <c r="R9" s="9">
        <v>87640.0</v>
      </c>
      <c r="S9" s="9">
        <v>87651.0</v>
      </c>
      <c r="T9" s="9">
        <v>87802.0</v>
      </c>
    </row>
    <row r="10" ht="12.75" customHeight="1">
      <c r="A10" s="39">
        <v>57.0</v>
      </c>
      <c r="B10" s="41">
        <v>88837.0</v>
      </c>
      <c r="C10" s="41">
        <v>88848.0</v>
      </c>
      <c r="D10" s="41">
        <v>88858.0</v>
      </c>
      <c r="E10" s="41">
        <v>88869.0</v>
      </c>
      <c r="F10" s="41">
        <v>88880.0</v>
      </c>
      <c r="G10" s="41">
        <v>88891.0</v>
      </c>
      <c r="H10" s="41">
        <v>88912.0</v>
      </c>
      <c r="I10" s="9">
        <v>88934.0</v>
      </c>
      <c r="J10" s="9">
        <v>88945.0</v>
      </c>
      <c r="K10" s="9">
        <v>88999.0</v>
      </c>
      <c r="L10" s="9">
        <v>89053.0</v>
      </c>
      <c r="M10" s="9">
        <v>89139.0</v>
      </c>
      <c r="N10" s="9">
        <v>89161.0</v>
      </c>
      <c r="O10" s="9">
        <v>89183.0</v>
      </c>
      <c r="P10" s="9">
        <v>89193.0</v>
      </c>
      <c r="Q10" s="9">
        <v>89204.0</v>
      </c>
      <c r="R10" s="9">
        <v>89215.0</v>
      </c>
      <c r="S10" s="9">
        <v>89226.0</v>
      </c>
      <c r="T10" s="9">
        <v>89377.0</v>
      </c>
    </row>
    <row r="11" ht="12.75" customHeight="1">
      <c r="A11" s="39">
        <v>58.0</v>
      </c>
      <c r="B11" s="41">
        <v>90450.0</v>
      </c>
      <c r="C11" s="41">
        <v>90460.0</v>
      </c>
      <c r="D11" s="41">
        <v>90471.0</v>
      </c>
      <c r="E11" s="41">
        <v>90482.0</v>
      </c>
      <c r="F11" s="41">
        <v>90493.0</v>
      </c>
      <c r="G11" s="41">
        <v>90504.0</v>
      </c>
      <c r="H11" s="41">
        <v>90525.0</v>
      </c>
      <c r="I11" s="9">
        <v>90547.0</v>
      </c>
      <c r="J11" s="9">
        <v>90558.0</v>
      </c>
      <c r="K11" s="9">
        <v>90612.0</v>
      </c>
      <c r="L11" s="9">
        <v>90666.0</v>
      </c>
      <c r="M11" s="9">
        <v>90752.0</v>
      </c>
      <c r="N11" s="9">
        <v>90774.0</v>
      </c>
      <c r="O11" s="9">
        <v>90795.0</v>
      </c>
      <c r="P11" s="9">
        <v>90806.0</v>
      </c>
      <c r="Q11" s="9">
        <v>90817.0</v>
      </c>
      <c r="R11" s="9">
        <v>90828.0</v>
      </c>
      <c r="S11" s="9">
        <v>90839.0</v>
      </c>
      <c r="T11" s="9">
        <v>90990.0</v>
      </c>
    </row>
    <row r="12" ht="12.75" customHeight="1">
      <c r="A12" s="39">
        <v>59.0</v>
      </c>
      <c r="B12" s="41">
        <v>92100.0</v>
      </c>
      <c r="C12" s="41">
        <v>92111.0</v>
      </c>
      <c r="D12" s="41">
        <v>92122.0</v>
      </c>
      <c r="E12" s="41">
        <v>92133.0</v>
      </c>
      <c r="F12" s="41">
        <v>92143.0</v>
      </c>
      <c r="G12" s="41">
        <v>92154.0</v>
      </c>
      <c r="H12" s="41">
        <v>92176.0</v>
      </c>
      <c r="I12" s="9">
        <v>92197.0</v>
      </c>
      <c r="J12" s="9">
        <v>92208.0</v>
      </c>
      <c r="K12" s="9">
        <v>92262.0</v>
      </c>
      <c r="L12" s="9">
        <v>92316.0</v>
      </c>
      <c r="M12" s="9">
        <v>92403.0</v>
      </c>
      <c r="N12" s="9">
        <v>92424.0</v>
      </c>
      <c r="O12" s="9">
        <v>92446.0</v>
      </c>
      <c r="P12" s="9">
        <v>92457.0</v>
      </c>
      <c r="Q12" s="9">
        <v>92468.0</v>
      </c>
      <c r="R12" s="9">
        <v>92478.0</v>
      </c>
      <c r="S12" s="9">
        <v>92489.0</v>
      </c>
      <c r="T12" s="9">
        <v>92641.0</v>
      </c>
    </row>
    <row r="13" ht="12.75" customHeight="1">
      <c r="A13" s="39">
        <v>60.0</v>
      </c>
      <c r="B13" s="41">
        <v>93801.0</v>
      </c>
      <c r="C13" s="41">
        <v>93812.0</v>
      </c>
      <c r="D13" s="41">
        <v>93823.0</v>
      </c>
      <c r="E13" s="41">
        <v>93834.0</v>
      </c>
      <c r="F13" s="41">
        <v>93844.0</v>
      </c>
      <c r="G13" s="41">
        <v>93855.0</v>
      </c>
      <c r="H13" s="41">
        <v>93877.0</v>
      </c>
      <c r="I13" s="9">
        <v>93898.0</v>
      </c>
      <c r="J13" s="9">
        <v>93909.0</v>
      </c>
      <c r="K13" s="9">
        <v>93963.0</v>
      </c>
      <c r="L13" s="9">
        <v>94017.0</v>
      </c>
      <c r="M13" s="9">
        <v>94104.0</v>
      </c>
      <c r="N13" s="9">
        <v>94125.0</v>
      </c>
      <c r="O13" s="9">
        <v>94147.0</v>
      </c>
      <c r="P13" s="9">
        <v>94158.0</v>
      </c>
      <c r="Q13" s="9">
        <v>94169.0</v>
      </c>
      <c r="R13" s="9">
        <v>94179.0</v>
      </c>
      <c r="S13" s="9">
        <v>94190.0</v>
      </c>
      <c r="T13" s="9">
        <v>94342.0</v>
      </c>
    </row>
    <row r="14" ht="12.75" customHeight="1">
      <c r="A14" s="15" t="s">
        <v>174</v>
      </c>
    </row>
    <row r="15" ht="12.75" customHeight="1">
      <c r="B15" s="15"/>
      <c r="C15" s="41">
        <f t="shared" ref="C15:T15" si="1">(C3-$B3)/(C$2-$B$2)</f>
        <v>5.5</v>
      </c>
      <c r="D15" s="41">
        <f t="shared" si="1"/>
        <v>5.5</v>
      </c>
      <c r="E15" s="41">
        <f t="shared" si="1"/>
        <v>5.333333333</v>
      </c>
      <c r="F15" s="41">
        <f t="shared" si="1"/>
        <v>5.375</v>
      </c>
      <c r="G15" s="41">
        <f t="shared" si="1"/>
        <v>5.4</v>
      </c>
      <c r="H15" s="41">
        <f t="shared" si="1"/>
        <v>5.428571429</v>
      </c>
      <c r="I15" s="41">
        <f t="shared" si="1"/>
        <v>5.388888889</v>
      </c>
      <c r="J15" s="41">
        <f t="shared" si="1"/>
        <v>5.4</v>
      </c>
      <c r="K15" s="41">
        <f t="shared" si="1"/>
        <v>5.4</v>
      </c>
      <c r="L15" s="41">
        <f t="shared" si="1"/>
        <v>5.4</v>
      </c>
      <c r="M15" s="41">
        <f t="shared" si="1"/>
        <v>5.410714286</v>
      </c>
      <c r="N15" s="41">
        <f t="shared" si="1"/>
        <v>5.4</v>
      </c>
      <c r="O15" s="41">
        <f t="shared" si="1"/>
        <v>5.40625</v>
      </c>
      <c r="P15" s="41">
        <f t="shared" si="1"/>
        <v>5.409090909</v>
      </c>
      <c r="Q15" s="41">
        <f t="shared" si="1"/>
        <v>5.397058824</v>
      </c>
      <c r="R15" s="41">
        <f t="shared" si="1"/>
        <v>5.4</v>
      </c>
      <c r="S15" s="41">
        <f t="shared" si="1"/>
        <v>5.402777778</v>
      </c>
      <c r="T15" s="41">
        <f t="shared" si="1"/>
        <v>5.4</v>
      </c>
      <c r="V15" s="15"/>
    </row>
    <row r="16" ht="12.75" customHeight="1">
      <c r="B16" s="15"/>
      <c r="C16" s="41">
        <f t="shared" ref="C16:T16" si="2">(C4-$B4)/(C$2-$B$2)</f>
        <v>5.5</v>
      </c>
      <c r="D16" s="41">
        <f t="shared" si="2"/>
        <v>5.25</v>
      </c>
      <c r="E16" s="41">
        <f t="shared" si="2"/>
        <v>5.333333333</v>
      </c>
      <c r="F16" s="41">
        <f t="shared" si="2"/>
        <v>5.375</v>
      </c>
      <c r="G16" s="41">
        <f t="shared" si="2"/>
        <v>5.4</v>
      </c>
      <c r="H16" s="41">
        <f t="shared" si="2"/>
        <v>5.357142857</v>
      </c>
      <c r="I16" s="41">
        <f t="shared" si="2"/>
        <v>5.388888889</v>
      </c>
      <c r="J16" s="41">
        <f t="shared" si="2"/>
        <v>5.4</v>
      </c>
      <c r="K16" s="41">
        <f t="shared" si="2"/>
        <v>5.4</v>
      </c>
      <c r="L16" s="41">
        <f t="shared" si="2"/>
        <v>5.4</v>
      </c>
      <c r="M16" s="41">
        <f t="shared" si="2"/>
        <v>5.392857143</v>
      </c>
      <c r="N16" s="41">
        <f t="shared" si="2"/>
        <v>5.4</v>
      </c>
      <c r="O16" s="41">
        <f t="shared" si="2"/>
        <v>5.40625</v>
      </c>
      <c r="P16" s="41">
        <f t="shared" si="2"/>
        <v>5.393939394</v>
      </c>
      <c r="Q16" s="41">
        <f t="shared" si="2"/>
        <v>5.397058824</v>
      </c>
      <c r="R16" s="41">
        <f t="shared" si="2"/>
        <v>5.4</v>
      </c>
      <c r="S16" s="41">
        <f t="shared" si="2"/>
        <v>5.402777778</v>
      </c>
      <c r="T16" s="41">
        <f t="shared" si="2"/>
        <v>5.4</v>
      </c>
      <c r="V16" s="15"/>
    </row>
    <row r="17" ht="12.75" customHeight="1">
      <c r="B17" s="15"/>
      <c r="C17" s="41">
        <f t="shared" ref="C17:T17" si="3">(C5-$B5)/(C$2-$B$2)</f>
        <v>5.5</v>
      </c>
      <c r="D17" s="41">
        <f t="shared" si="3"/>
        <v>5.25</v>
      </c>
      <c r="E17" s="41">
        <f t="shared" si="3"/>
        <v>5.333333333</v>
      </c>
      <c r="F17" s="41">
        <f t="shared" si="3"/>
        <v>5.375</v>
      </c>
      <c r="G17" s="41">
        <f t="shared" si="3"/>
        <v>5.4</v>
      </c>
      <c r="H17" s="41">
        <f t="shared" si="3"/>
        <v>5.357142857</v>
      </c>
      <c r="I17" s="41">
        <f t="shared" si="3"/>
        <v>5.388888889</v>
      </c>
      <c r="J17" s="41">
        <f t="shared" si="3"/>
        <v>5.4</v>
      </c>
      <c r="K17" s="41">
        <f t="shared" si="3"/>
        <v>5.4</v>
      </c>
      <c r="L17" s="41">
        <f t="shared" si="3"/>
        <v>5.4</v>
      </c>
      <c r="M17" s="41">
        <f t="shared" si="3"/>
        <v>5.392857143</v>
      </c>
      <c r="N17" s="41">
        <f t="shared" si="3"/>
        <v>5.4</v>
      </c>
      <c r="O17" s="41">
        <f t="shared" si="3"/>
        <v>5.40625</v>
      </c>
      <c r="P17" s="41">
        <f t="shared" si="3"/>
        <v>5.393939394</v>
      </c>
      <c r="Q17" s="41">
        <f t="shared" si="3"/>
        <v>5.397058824</v>
      </c>
      <c r="R17" s="41">
        <f t="shared" si="3"/>
        <v>5.4</v>
      </c>
      <c r="S17" s="41">
        <f t="shared" si="3"/>
        <v>5.402777778</v>
      </c>
      <c r="T17" s="41">
        <f t="shared" si="3"/>
        <v>5.4</v>
      </c>
      <c r="V17" s="15"/>
    </row>
    <row r="18" ht="12.75" customHeight="1">
      <c r="B18" s="15"/>
      <c r="C18" s="41">
        <f t="shared" ref="C18:T18" si="4">(C6-$B6)/(C$2-$B$2)</f>
        <v>5</v>
      </c>
      <c r="D18" s="41">
        <f t="shared" si="4"/>
        <v>5.25</v>
      </c>
      <c r="E18" s="41">
        <f t="shared" si="4"/>
        <v>5.333333333</v>
      </c>
      <c r="F18" s="41">
        <f t="shared" si="4"/>
        <v>5.375</v>
      </c>
      <c r="G18" s="41">
        <f t="shared" si="4"/>
        <v>5.4</v>
      </c>
      <c r="H18" s="41">
        <f t="shared" si="4"/>
        <v>5.357142857</v>
      </c>
      <c r="I18" s="41">
        <f t="shared" si="4"/>
        <v>5.388888889</v>
      </c>
      <c r="J18" s="41">
        <f t="shared" si="4"/>
        <v>5.4</v>
      </c>
      <c r="K18" s="41">
        <f t="shared" si="4"/>
        <v>5.4</v>
      </c>
      <c r="L18" s="41">
        <f t="shared" si="4"/>
        <v>5.4</v>
      </c>
      <c r="M18" s="41">
        <f t="shared" si="4"/>
        <v>5.392857143</v>
      </c>
      <c r="N18" s="41">
        <f t="shared" si="4"/>
        <v>5.4</v>
      </c>
      <c r="O18" s="41">
        <f t="shared" si="4"/>
        <v>5.390625</v>
      </c>
      <c r="P18" s="41">
        <f t="shared" si="4"/>
        <v>5.393939394</v>
      </c>
      <c r="Q18" s="41">
        <f t="shared" si="4"/>
        <v>5.397058824</v>
      </c>
      <c r="R18" s="41">
        <f t="shared" si="4"/>
        <v>5.4</v>
      </c>
      <c r="S18" s="41">
        <f t="shared" si="4"/>
        <v>5.402777778</v>
      </c>
      <c r="T18" s="41">
        <f t="shared" si="4"/>
        <v>5.4</v>
      </c>
      <c r="V18" s="15"/>
    </row>
    <row r="19" ht="12.75" customHeight="1">
      <c r="B19" s="15"/>
      <c r="C19" s="41">
        <f t="shared" ref="C19:T19" si="5">(C7-$B7)/(C$2-$B$2)</f>
        <v>5.5</v>
      </c>
      <c r="D19" s="41">
        <f t="shared" si="5"/>
        <v>5.5</v>
      </c>
      <c r="E19" s="41">
        <f t="shared" si="5"/>
        <v>5.5</v>
      </c>
      <c r="F19" s="41">
        <f t="shared" si="5"/>
        <v>5.375</v>
      </c>
      <c r="G19" s="41">
        <f t="shared" si="5"/>
        <v>5.4</v>
      </c>
      <c r="H19" s="41">
        <f t="shared" si="5"/>
        <v>5.428571429</v>
      </c>
      <c r="I19" s="41">
        <f t="shared" si="5"/>
        <v>5.388888889</v>
      </c>
      <c r="J19" s="41">
        <f t="shared" si="5"/>
        <v>5.4</v>
      </c>
      <c r="K19" s="41">
        <f t="shared" si="5"/>
        <v>5.4</v>
      </c>
      <c r="L19" s="41">
        <f t="shared" si="5"/>
        <v>5.4</v>
      </c>
      <c r="M19" s="41">
        <f t="shared" si="5"/>
        <v>5.410714286</v>
      </c>
      <c r="N19" s="41">
        <f t="shared" si="5"/>
        <v>5.4</v>
      </c>
      <c r="O19" s="41">
        <f t="shared" si="5"/>
        <v>5.40625</v>
      </c>
      <c r="P19" s="41">
        <f t="shared" si="5"/>
        <v>5.409090909</v>
      </c>
      <c r="Q19" s="41">
        <f t="shared" si="5"/>
        <v>5.411764706</v>
      </c>
      <c r="R19" s="41">
        <f t="shared" si="5"/>
        <v>5.4</v>
      </c>
      <c r="S19" s="41">
        <f t="shared" si="5"/>
        <v>5.402777778</v>
      </c>
      <c r="T19" s="41">
        <f t="shared" si="5"/>
        <v>5.41</v>
      </c>
      <c r="V19" s="15"/>
    </row>
    <row r="20" ht="12.75" customHeight="1">
      <c r="B20" s="15"/>
      <c r="C20" s="41">
        <f t="shared" ref="C20:T20" si="6">(C8-$B8)/(C$2-$B$2)</f>
        <v>5</v>
      </c>
      <c r="D20" s="41">
        <f t="shared" si="6"/>
        <v>5.25</v>
      </c>
      <c r="E20" s="41">
        <f t="shared" si="6"/>
        <v>5.333333333</v>
      </c>
      <c r="F20" s="41">
        <f t="shared" si="6"/>
        <v>5.375</v>
      </c>
      <c r="G20" s="41">
        <f t="shared" si="6"/>
        <v>5.4</v>
      </c>
      <c r="H20" s="41">
        <f t="shared" si="6"/>
        <v>5.357142857</v>
      </c>
      <c r="I20" s="41">
        <f t="shared" si="6"/>
        <v>5.388888889</v>
      </c>
      <c r="J20" s="41">
        <f t="shared" si="6"/>
        <v>5.4</v>
      </c>
      <c r="K20" s="41">
        <f t="shared" si="6"/>
        <v>5.4</v>
      </c>
      <c r="L20" s="41">
        <f t="shared" si="6"/>
        <v>5.4</v>
      </c>
      <c r="M20" s="41">
        <f t="shared" si="6"/>
        <v>5.392857143</v>
      </c>
      <c r="N20" s="41">
        <f t="shared" si="6"/>
        <v>5.4</v>
      </c>
      <c r="O20" s="41">
        <f t="shared" si="6"/>
        <v>5.390625</v>
      </c>
      <c r="P20" s="41">
        <f t="shared" si="6"/>
        <v>5.393939394</v>
      </c>
      <c r="Q20" s="41">
        <f t="shared" si="6"/>
        <v>5.397058824</v>
      </c>
      <c r="R20" s="41">
        <f t="shared" si="6"/>
        <v>5.4</v>
      </c>
      <c r="S20" s="41">
        <f t="shared" si="6"/>
        <v>5.402777778</v>
      </c>
      <c r="T20" s="41">
        <f t="shared" si="6"/>
        <v>5.4</v>
      </c>
      <c r="V20" s="15"/>
    </row>
    <row r="21" ht="12.75" customHeight="1">
      <c r="B21" s="15"/>
      <c r="C21" s="41">
        <f t="shared" ref="C21:T21" si="7">(C9-$B9)/(C$2-$B$2)</f>
        <v>5.5</v>
      </c>
      <c r="D21" s="41">
        <f t="shared" si="7"/>
        <v>5.25</v>
      </c>
      <c r="E21" s="41">
        <f t="shared" si="7"/>
        <v>5.333333333</v>
      </c>
      <c r="F21" s="41">
        <f t="shared" si="7"/>
        <v>5.375</v>
      </c>
      <c r="G21" s="41">
        <f t="shared" si="7"/>
        <v>5.4</v>
      </c>
      <c r="H21" s="41">
        <f t="shared" si="7"/>
        <v>5.357142857</v>
      </c>
      <c r="I21" s="41">
        <f t="shared" si="7"/>
        <v>5.388888889</v>
      </c>
      <c r="J21" s="41">
        <f t="shared" si="7"/>
        <v>5.4</v>
      </c>
      <c r="K21" s="41">
        <f t="shared" si="7"/>
        <v>5.4</v>
      </c>
      <c r="L21" s="41">
        <f t="shared" si="7"/>
        <v>5.4</v>
      </c>
      <c r="M21" s="41">
        <f t="shared" si="7"/>
        <v>5.392857143</v>
      </c>
      <c r="N21" s="41">
        <f t="shared" si="7"/>
        <v>5.4</v>
      </c>
      <c r="O21" s="41">
        <f t="shared" si="7"/>
        <v>5.40625</v>
      </c>
      <c r="P21" s="41">
        <f t="shared" si="7"/>
        <v>5.393939394</v>
      </c>
      <c r="Q21" s="41">
        <f t="shared" si="7"/>
        <v>5.397058824</v>
      </c>
      <c r="R21" s="41">
        <f t="shared" si="7"/>
        <v>5.4</v>
      </c>
      <c r="S21" s="41">
        <f t="shared" si="7"/>
        <v>5.402777778</v>
      </c>
      <c r="T21" s="41">
        <f t="shared" si="7"/>
        <v>5.4</v>
      </c>
      <c r="V21" s="15"/>
    </row>
    <row r="22" ht="12.75" customHeight="1">
      <c r="B22" s="15"/>
      <c r="C22" s="41">
        <f t="shared" ref="C22:T22" si="8">(C10-$B10)/(C$2-$B$2)</f>
        <v>5.5</v>
      </c>
      <c r="D22" s="41">
        <f t="shared" si="8"/>
        <v>5.25</v>
      </c>
      <c r="E22" s="41">
        <f t="shared" si="8"/>
        <v>5.333333333</v>
      </c>
      <c r="F22" s="41">
        <f t="shared" si="8"/>
        <v>5.375</v>
      </c>
      <c r="G22" s="41">
        <f t="shared" si="8"/>
        <v>5.4</v>
      </c>
      <c r="H22" s="41">
        <f t="shared" si="8"/>
        <v>5.357142857</v>
      </c>
      <c r="I22" s="41">
        <f t="shared" si="8"/>
        <v>5.388888889</v>
      </c>
      <c r="J22" s="41">
        <f t="shared" si="8"/>
        <v>5.4</v>
      </c>
      <c r="K22" s="41">
        <f t="shared" si="8"/>
        <v>5.4</v>
      </c>
      <c r="L22" s="41">
        <f t="shared" si="8"/>
        <v>5.4</v>
      </c>
      <c r="M22" s="41">
        <f t="shared" si="8"/>
        <v>5.392857143</v>
      </c>
      <c r="N22" s="41">
        <f t="shared" si="8"/>
        <v>5.4</v>
      </c>
      <c r="O22" s="41">
        <f t="shared" si="8"/>
        <v>5.40625</v>
      </c>
      <c r="P22" s="41">
        <f t="shared" si="8"/>
        <v>5.393939394</v>
      </c>
      <c r="Q22" s="41">
        <f t="shared" si="8"/>
        <v>5.397058824</v>
      </c>
      <c r="R22" s="41">
        <f t="shared" si="8"/>
        <v>5.4</v>
      </c>
      <c r="S22" s="41">
        <f t="shared" si="8"/>
        <v>5.402777778</v>
      </c>
      <c r="T22" s="41">
        <f t="shared" si="8"/>
        <v>5.4</v>
      </c>
      <c r="V22" s="15"/>
    </row>
    <row r="23" ht="12.75" customHeight="1">
      <c r="B23" s="15"/>
      <c r="C23" s="41">
        <f t="shared" ref="C23:T23" si="9">(C11-$B11)/(C$2-$B$2)</f>
        <v>5</v>
      </c>
      <c r="D23" s="41">
        <f t="shared" si="9"/>
        <v>5.25</v>
      </c>
      <c r="E23" s="41">
        <f t="shared" si="9"/>
        <v>5.333333333</v>
      </c>
      <c r="F23" s="41">
        <f t="shared" si="9"/>
        <v>5.375</v>
      </c>
      <c r="G23" s="41">
        <f t="shared" si="9"/>
        <v>5.4</v>
      </c>
      <c r="H23" s="41">
        <f t="shared" si="9"/>
        <v>5.357142857</v>
      </c>
      <c r="I23" s="41">
        <f t="shared" si="9"/>
        <v>5.388888889</v>
      </c>
      <c r="J23" s="41">
        <f t="shared" si="9"/>
        <v>5.4</v>
      </c>
      <c r="K23" s="41">
        <f t="shared" si="9"/>
        <v>5.4</v>
      </c>
      <c r="L23" s="41">
        <f t="shared" si="9"/>
        <v>5.4</v>
      </c>
      <c r="M23" s="41">
        <f t="shared" si="9"/>
        <v>5.392857143</v>
      </c>
      <c r="N23" s="41">
        <f t="shared" si="9"/>
        <v>5.4</v>
      </c>
      <c r="O23" s="41">
        <f t="shared" si="9"/>
        <v>5.390625</v>
      </c>
      <c r="P23" s="41">
        <f t="shared" si="9"/>
        <v>5.393939394</v>
      </c>
      <c r="Q23" s="41">
        <f t="shared" si="9"/>
        <v>5.397058824</v>
      </c>
      <c r="R23" s="41">
        <f t="shared" si="9"/>
        <v>5.4</v>
      </c>
      <c r="S23" s="41">
        <f t="shared" si="9"/>
        <v>5.402777778</v>
      </c>
      <c r="T23" s="41">
        <f t="shared" si="9"/>
        <v>5.4</v>
      </c>
      <c r="V23" s="15"/>
    </row>
    <row r="24" ht="12.75" customHeight="1">
      <c r="B24" s="15"/>
      <c r="C24" s="41">
        <f t="shared" ref="C24:T24" si="10">(C12-$B12)/(C$2-$B$2)</f>
        <v>5.5</v>
      </c>
      <c r="D24" s="41">
        <f t="shared" si="10"/>
        <v>5.5</v>
      </c>
      <c r="E24" s="41">
        <f t="shared" si="10"/>
        <v>5.5</v>
      </c>
      <c r="F24" s="41">
        <f t="shared" si="10"/>
        <v>5.375</v>
      </c>
      <c r="G24" s="41">
        <f t="shared" si="10"/>
        <v>5.4</v>
      </c>
      <c r="H24" s="41">
        <f t="shared" si="10"/>
        <v>5.428571429</v>
      </c>
      <c r="I24" s="41">
        <f t="shared" si="10"/>
        <v>5.388888889</v>
      </c>
      <c r="J24" s="41">
        <f t="shared" si="10"/>
        <v>5.4</v>
      </c>
      <c r="K24" s="41">
        <f t="shared" si="10"/>
        <v>5.4</v>
      </c>
      <c r="L24" s="41">
        <f t="shared" si="10"/>
        <v>5.4</v>
      </c>
      <c r="M24" s="41">
        <f t="shared" si="10"/>
        <v>5.410714286</v>
      </c>
      <c r="N24" s="41">
        <f t="shared" si="10"/>
        <v>5.4</v>
      </c>
      <c r="O24" s="41">
        <f t="shared" si="10"/>
        <v>5.40625</v>
      </c>
      <c r="P24" s="41">
        <f t="shared" si="10"/>
        <v>5.409090909</v>
      </c>
      <c r="Q24" s="41">
        <f t="shared" si="10"/>
        <v>5.411764706</v>
      </c>
      <c r="R24" s="41">
        <f t="shared" si="10"/>
        <v>5.4</v>
      </c>
      <c r="S24" s="41">
        <f t="shared" si="10"/>
        <v>5.402777778</v>
      </c>
      <c r="T24" s="41">
        <f t="shared" si="10"/>
        <v>5.41</v>
      </c>
      <c r="V24" s="15"/>
    </row>
    <row r="25" ht="12.75" customHeight="1">
      <c r="B25" s="15"/>
      <c r="C25" s="41">
        <f t="shared" ref="C25:T25" si="11">(C13-$B13)/(C$2-$B$2)</f>
        <v>5.5</v>
      </c>
      <c r="D25" s="41">
        <f t="shared" si="11"/>
        <v>5.5</v>
      </c>
      <c r="E25" s="41">
        <f t="shared" si="11"/>
        <v>5.5</v>
      </c>
      <c r="F25" s="41">
        <f t="shared" si="11"/>
        <v>5.375</v>
      </c>
      <c r="G25" s="41">
        <f t="shared" si="11"/>
        <v>5.4</v>
      </c>
      <c r="H25" s="41">
        <f t="shared" si="11"/>
        <v>5.428571429</v>
      </c>
      <c r="I25" s="41">
        <f t="shared" si="11"/>
        <v>5.388888889</v>
      </c>
      <c r="J25" s="41">
        <f t="shared" si="11"/>
        <v>5.4</v>
      </c>
      <c r="K25" s="41">
        <f t="shared" si="11"/>
        <v>5.4</v>
      </c>
      <c r="L25" s="41">
        <f t="shared" si="11"/>
        <v>5.4</v>
      </c>
      <c r="M25" s="41">
        <f t="shared" si="11"/>
        <v>5.410714286</v>
      </c>
      <c r="N25" s="41">
        <f t="shared" si="11"/>
        <v>5.4</v>
      </c>
      <c r="O25" s="41">
        <f t="shared" si="11"/>
        <v>5.40625</v>
      </c>
      <c r="P25" s="41">
        <f t="shared" si="11"/>
        <v>5.409090909</v>
      </c>
      <c r="Q25" s="41">
        <f t="shared" si="11"/>
        <v>5.411764706</v>
      </c>
      <c r="R25" s="41">
        <f t="shared" si="11"/>
        <v>5.4</v>
      </c>
      <c r="S25" s="41">
        <f t="shared" si="11"/>
        <v>5.402777778</v>
      </c>
      <c r="T25" s="41">
        <f t="shared" si="11"/>
        <v>5.41</v>
      </c>
      <c r="V25" s="15"/>
    </row>
    <row r="26" ht="12.75" customHeight="1">
      <c r="A26" s="15" t="s">
        <v>177</v>
      </c>
      <c r="B26" s="15"/>
      <c r="V26" s="15"/>
    </row>
    <row r="27" ht="12.75" customHeight="1">
      <c r="B27" s="15"/>
      <c r="C27" s="41">
        <f t="shared" ref="C27:T27" si="12">AVERAGE(C15:C25)</f>
        <v>5.363636364</v>
      </c>
      <c r="D27" s="41">
        <f t="shared" si="12"/>
        <v>5.340909091</v>
      </c>
      <c r="E27" s="41">
        <f t="shared" si="12"/>
        <v>5.378787879</v>
      </c>
      <c r="F27" s="41">
        <f t="shared" si="12"/>
        <v>5.375</v>
      </c>
      <c r="G27" s="41">
        <f t="shared" si="12"/>
        <v>5.4</v>
      </c>
      <c r="H27" s="41">
        <f t="shared" si="12"/>
        <v>5.383116883</v>
      </c>
      <c r="I27" s="41">
        <f t="shared" si="12"/>
        <v>5.388888889</v>
      </c>
      <c r="J27" s="41">
        <f t="shared" si="12"/>
        <v>5.4</v>
      </c>
      <c r="K27" s="41">
        <f t="shared" si="12"/>
        <v>5.4</v>
      </c>
      <c r="L27" s="41">
        <f t="shared" si="12"/>
        <v>5.4</v>
      </c>
      <c r="M27" s="41">
        <f t="shared" si="12"/>
        <v>5.399350649</v>
      </c>
      <c r="N27" s="41">
        <f t="shared" si="12"/>
        <v>5.4</v>
      </c>
      <c r="O27" s="41">
        <f t="shared" si="12"/>
        <v>5.401988636</v>
      </c>
      <c r="P27" s="41">
        <f t="shared" si="12"/>
        <v>5.399449036</v>
      </c>
      <c r="Q27" s="41">
        <f t="shared" si="12"/>
        <v>5.401069519</v>
      </c>
      <c r="R27" s="41">
        <f t="shared" si="12"/>
        <v>5.4</v>
      </c>
      <c r="S27" s="41">
        <f t="shared" si="12"/>
        <v>5.402777778</v>
      </c>
      <c r="T27" s="41">
        <f t="shared" si="12"/>
        <v>5.402727273</v>
      </c>
      <c r="V27" s="15"/>
    </row>
    <row r="28" ht="12.75" customHeight="1">
      <c r="B28" s="15"/>
      <c r="L28" s="15"/>
      <c r="M28" s="15"/>
      <c r="N28" s="15"/>
      <c r="O28" s="15"/>
      <c r="P28" s="15"/>
      <c r="Q28" s="15"/>
      <c r="R28" s="15"/>
      <c r="S28" s="15"/>
      <c r="T28" s="15"/>
      <c r="V28" s="15"/>
    </row>
    <row r="29" ht="12.75" customHeight="1">
      <c r="B29" s="15" t="s">
        <v>178</v>
      </c>
      <c r="L29" s="15"/>
      <c r="M29" s="15"/>
      <c r="N29" s="15"/>
      <c r="O29" s="15"/>
      <c r="P29" s="15"/>
      <c r="Q29" s="15"/>
      <c r="R29" s="15"/>
      <c r="S29" s="15"/>
      <c r="T29" s="15"/>
      <c r="V29" s="15"/>
    </row>
    <row r="30" ht="12.75" customHeight="1">
      <c r="B30" s="15" t="s">
        <v>179</v>
      </c>
    </row>
    <row r="31" ht="12.75" customHeight="1">
      <c r="C31" s="9" t="s">
        <v>180</v>
      </c>
      <c r="D31" s="41">
        <f>4540/4500</f>
        <v>1.008888889</v>
      </c>
      <c r="G31" s="9" t="s">
        <v>181</v>
      </c>
      <c r="H31" s="41">
        <f>78809/78593</f>
        <v>1.002748336</v>
      </c>
    </row>
    <row r="32" ht="12.75" customHeight="1">
      <c r="B32" s="15" t="s">
        <v>182</v>
      </c>
    </row>
    <row r="33" ht="12.75" customHeight="1">
      <c r="C33" s="15" t="s">
        <v>183</v>
      </c>
    </row>
    <row r="34" ht="12.75" customHeight="1"/>
    <row r="35" ht="12.75" customHeight="1">
      <c r="B35" s="15" t="s">
        <v>184</v>
      </c>
    </row>
    <row r="36" ht="12.75" customHeight="1"/>
    <row r="37" ht="12.75" customHeight="1">
      <c r="B37" s="15" t="s">
        <v>185</v>
      </c>
    </row>
    <row r="38" ht="12.75" customHeight="1">
      <c r="B38" s="15" t="s">
        <v>186</v>
      </c>
    </row>
    <row r="39" ht="12.75" customHeight="1">
      <c r="B39" s="15" t="s">
        <v>187</v>
      </c>
    </row>
    <row r="40" ht="12.75" customHeight="1"/>
    <row r="41" ht="12.75" customHeight="1">
      <c r="B41" s="15" t="s">
        <v>188</v>
      </c>
      <c r="K41" s="41">
        <f>78593/5.4</f>
        <v>14554.25926</v>
      </c>
    </row>
    <row r="42" ht="12.75" customHeight="1">
      <c r="B42" s="15" t="s">
        <v>189</v>
      </c>
      <c r="K42" s="41">
        <f>K41-4500</f>
        <v>10054.25926</v>
      </c>
    </row>
    <row r="43" ht="12.75" customHeight="1">
      <c r="A43" s="15" t="s">
        <v>16</v>
      </c>
      <c r="B43" s="15" t="s">
        <v>190</v>
      </c>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sheetData>
  <printOptions/>
  <pageMargins bottom="0.7875" footer="0.0" header="0.0" left="0.7875" right="0.7875" top="0.78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8.5"/>
    <col customWidth="1" min="3" max="6" width="11.5"/>
    <col customWidth="1" min="7" max="26" width="8.63"/>
  </cols>
  <sheetData>
    <row r="1" ht="12.75" customHeight="1">
      <c r="A1" s="15" t="s">
        <v>191</v>
      </c>
      <c r="H1" s="15" t="s">
        <v>192</v>
      </c>
    </row>
    <row r="2" ht="12.75" customHeight="1">
      <c r="A2" s="15" t="s">
        <v>193</v>
      </c>
    </row>
    <row r="3" ht="12.75" customHeight="1">
      <c r="A3" s="15" t="s">
        <v>194</v>
      </c>
    </row>
    <row r="4" ht="12.75" customHeight="1">
      <c r="A4" s="48"/>
      <c r="B4" s="48"/>
    </row>
    <row r="5" ht="12.75" customHeight="1">
      <c r="A5" s="79" t="s">
        <v>195</v>
      </c>
      <c r="B5" s="15" t="s">
        <v>81</v>
      </c>
      <c r="C5" s="64" t="s">
        <v>196</v>
      </c>
    </row>
    <row r="6" ht="12.75" customHeight="1">
      <c r="A6" s="79" t="s">
        <v>197</v>
      </c>
      <c r="B6" s="15" t="s">
        <v>102</v>
      </c>
      <c r="C6" s="64" t="s">
        <v>198</v>
      </c>
    </row>
    <row r="7" ht="12.75" customHeight="1">
      <c r="A7" s="79" t="s">
        <v>199</v>
      </c>
      <c r="B7" s="15" t="s">
        <v>123</v>
      </c>
      <c r="C7" s="64" t="s">
        <v>200</v>
      </c>
    </row>
    <row r="8" ht="12.75" customHeight="1">
      <c r="A8" s="79" t="s">
        <v>195</v>
      </c>
      <c r="B8" s="15" t="s">
        <v>82</v>
      </c>
      <c r="C8" s="64" t="s">
        <v>201</v>
      </c>
    </row>
    <row r="9" ht="12.75" customHeight="1">
      <c r="A9" s="79" t="s">
        <v>202</v>
      </c>
      <c r="B9" s="15" t="s">
        <v>103</v>
      </c>
      <c r="C9" s="64" t="s">
        <v>203</v>
      </c>
    </row>
    <row r="10" ht="12.75" customHeight="1">
      <c r="A10" s="79" t="s">
        <v>199</v>
      </c>
      <c r="B10" s="15" t="s">
        <v>124</v>
      </c>
      <c r="C10" s="64" t="s">
        <v>204</v>
      </c>
    </row>
    <row r="11" ht="12.75" customHeight="1">
      <c r="A11" s="79" t="s">
        <v>195</v>
      </c>
      <c r="B11" s="15" t="s">
        <v>83</v>
      </c>
      <c r="C11" s="64" t="s">
        <v>205</v>
      </c>
    </row>
    <row r="12" ht="12.75" customHeight="1">
      <c r="A12" s="79" t="s">
        <v>206</v>
      </c>
      <c r="B12" s="15" t="s">
        <v>104</v>
      </c>
      <c r="C12" s="64" t="s">
        <v>207</v>
      </c>
    </row>
    <row r="13" ht="12.75" customHeight="1">
      <c r="A13" s="93" t="s">
        <v>199</v>
      </c>
      <c r="B13" s="94" t="s">
        <v>125</v>
      </c>
      <c r="C13" s="64" t="s">
        <v>208</v>
      </c>
    </row>
    <row r="14" ht="12.75" customHeight="1">
      <c r="A14" s="79" t="s">
        <v>195</v>
      </c>
      <c r="B14" s="15" t="s">
        <v>84</v>
      </c>
      <c r="C14" s="64" t="s">
        <v>209</v>
      </c>
    </row>
    <row r="15" ht="12.75" customHeight="1">
      <c r="A15" s="79" t="s">
        <v>210</v>
      </c>
      <c r="B15" s="15" t="s">
        <v>105</v>
      </c>
      <c r="C15" s="64" t="s">
        <v>211</v>
      </c>
    </row>
    <row r="16" ht="12.75" customHeight="1">
      <c r="A16" s="79" t="s">
        <v>199</v>
      </c>
      <c r="B16" s="15" t="s">
        <v>126</v>
      </c>
      <c r="C16" s="64" t="s">
        <v>212</v>
      </c>
    </row>
    <row r="17" ht="12.75" customHeight="1">
      <c r="A17" s="79" t="s">
        <v>195</v>
      </c>
      <c r="B17" s="15" t="s">
        <v>85</v>
      </c>
      <c r="C17" s="64" t="s">
        <v>213</v>
      </c>
    </row>
    <row r="18" ht="12.75" customHeight="1">
      <c r="A18" s="79" t="s">
        <v>214</v>
      </c>
      <c r="B18" s="15" t="s">
        <v>106</v>
      </c>
      <c r="C18" s="64" t="s">
        <v>215</v>
      </c>
    </row>
    <row r="19" ht="12.75" customHeight="1">
      <c r="A19" s="93" t="s">
        <v>199</v>
      </c>
      <c r="B19" s="94" t="s">
        <v>127</v>
      </c>
      <c r="C19" s="64" t="s">
        <v>216</v>
      </c>
    </row>
    <row r="20" ht="12.75" customHeight="1">
      <c r="A20" s="79" t="s">
        <v>195</v>
      </c>
      <c r="B20" s="15" t="s">
        <v>86</v>
      </c>
      <c r="C20" s="64" t="s">
        <v>217</v>
      </c>
    </row>
    <row r="21" ht="12.75" customHeight="1">
      <c r="A21" s="79" t="s">
        <v>218</v>
      </c>
      <c r="B21" s="15" t="s">
        <v>107</v>
      </c>
      <c r="C21" s="64" t="s">
        <v>219</v>
      </c>
    </row>
    <row r="22" ht="12.75" customHeight="1">
      <c r="A22" s="79" t="s">
        <v>199</v>
      </c>
      <c r="B22" s="15" t="s">
        <v>129</v>
      </c>
      <c r="C22" s="64" t="s">
        <v>220</v>
      </c>
    </row>
    <row r="23" ht="12.75" customHeight="1">
      <c r="A23" s="79" t="s">
        <v>195</v>
      </c>
      <c r="B23" s="15" t="s">
        <v>87</v>
      </c>
      <c r="C23" s="64" t="s">
        <v>221</v>
      </c>
    </row>
    <row r="24" ht="12.75" customHeight="1">
      <c r="A24" s="79" t="s">
        <v>222</v>
      </c>
      <c r="B24" s="15" t="s">
        <v>108</v>
      </c>
      <c r="C24" s="64" t="s">
        <v>223</v>
      </c>
    </row>
    <row r="25" ht="12.75" customHeight="1">
      <c r="A25" s="93" t="s">
        <v>199</v>
      </c>
      <c r="B25" s="94" t="s">
        <v>130</v>
      </c>
      <c r="C25" s="64" t="s">
        <v>224</v>
      </c>
    </row>
    <row r="26" ht="12.75" customHeight="1">
      <c r="A26" s="79" t="s">
        <v>195</v>
      </c>
      <c r="B26" s="15" t="s">
        <v>88</v>
      </c>
      <c r="C26" s="64" t="s">
        <v>225</v>
      </c>
    </row>
    <row r="27" ht="12.75" customHeight="1">
      <c r="A27" s="79" t="s">
        <v>226</v>
      </c>
      <c r="B27" s="15" t="s">
        <v>109</v>
      </c>
      <c r="C27" s="64" t="s">
        <v>227</v>
      </c>
    </row>
    <row r="28" ht="12.75" customHeight="1">
      <c r="A28" s="79" t="s">
        <v>199</v>
      </c>
      <c r="B28" s="15" t="s">
        <v>131</v>
      </c>
      <c r="C28" s="64" t="s">
        <v>228</v>
      </c>
    </row>
    <row r="29" ht="12.75" customHeight="1">
      <c r="A29" s="79" t="s">
        <v>195</v>
      </c>
      <c r="B29" s="15" t="s">
        <v>89</v>
      </c>
      <c r="C29" s="64" t="s">
        <v>229</v>
      </c>
    </row>
    <row r="30" ht="12.75" customHeight="1">
      <c r="A30" s="79" t="s">
        <v>230</v>
      </c>
      <c r="B30" s="15" t="s">
        <v>110</v>
      </c>
      <c r="C30" s="64" t="s">
        <v>231</v>
      </c>
    </row>
    <row r="31" ht="12.75" customHeight="1">
      <c r="A31" s="93" t="s">
        <v>199</v>
      </c>
      <c r="B31" s="94" t="s">
        <v>132</v>
      </c>
      <c r="C31" s="64" t="s">
        <v>232</v>
      </c>
    </row>
    <row r="32" ht="12.75" customHeight="1">
      <c r="A32" s="79" t="s">
        <v>195</v>
      </c>
      <c r="B32" s="15" t="s">
        <v>90</v>
      </c>
      <c r="C32" s="64" t="s">
        <v>233</v>
      </c>
    </row>
    <row r="33" ht="12.75" customHeight="1">
      <c r="A33" s="79" t="s">
        <v>234</v>
      </c>
      <c r="B33" s="15" t="s">
        <v>111</v>
      </c>
      <c r="C33" s="64" t="s">
        <v>235</v>
      </c>
    </row>
    <row r="34" ht="12.75" customHeight="1">
      <c r="A34" s="79" t="s">
        <v>199</v>
      </c>
      <c r="B34" s="15" t="s">
        <v>133</v>
      </c>
      <c r="C34" s="64" t="s">
        <v>236</v>
      </c>
    </row>
    <row r="35" ht="12.75" customHeight="1">
      <c r="A35" s="79" t="s">
        <v>195</v>
      </c>
      <c r="B35" s="15" t="s">
        <v>91</v>
      </c>
      <c r="C35" s="64" t="s">
        <v>237</v>
      </c>
    </row>
    <row r="36" ht="12.75" customHeight="1">
      <c r="A36" s="79" t="s">
        <v>238</v>
      </c>
      <c r="B36" s="15" t="s">
        <v>112</v>
      </c>
      <c r="C36" s="64" t="s">
        <v>239</v>
      </c>
    </row>
    <row r="37" ht="12.75" customHeight="1">
      <c r="A37" s="93" t="s">
        <v>199</v>
      </c>
      <c r="B37" s="94" t="s">
        <v>135</v>
      </c>
      <c r="C37" s="64" t="s">
        <v>240</v>
      </c>
    </row>
    <row r="38" ht="12.75" customHeight="1">
      <c r="A38" s="79" t="s">
        <v>195</v>
      </c>
      <c r="B38" s="15" t="s">
        <v>92</v>
      </c>
      <c r="C38" s="64" t="s">
        <v>241</v>
      </c>
    </row>
    <row r="39" ht="12.75" customHeight="1">
      <c r="A39" s="79" t="s">
        <v>242</v>
      </c>
      <c r="B39" s="15" t="s">
        <v>113</v>
      </c>
      <c r="C39" s="64" t="s">
        <v>243</v>
      </c>
    </row>
    <row r="40" ht="12.75" customHeight="1">
      <c r="A40" s="79" t="s">
        <v>199</v>
      </c>
      <c r="B40" s="15" t="s">
        <v>136</v>
      </c>
      <c r="C40" s="64" t="s">
        <v>244</v>
      </c>
    </row>
    <row r="41" ht="12.75" customHeight="1">
      <c r="A41" s="79" t="s">
        <v>195</v>
      </c>
      <c r="B41" s="15" t="s">
        <v>93</v>
      </c>
      <c r="C41" s="64" t="s">
        <v>245</v>
      </c>
    </row>
    <row r="42" ht="12.75" customHeight="1">
      <c r="A42" s="79" t="s">
        <v>246</v>
      </c>
      <c r="B42" s="15" t="s">
        <v>114</v>
      </c>
      <c r="C42" s="64" t="s">
        <v>247</v>
      </c>
    </row>
    <row r="43" ht="12.75" customHeight="1">
      <c r="A43" s="93" t="s">
        <v>199</v>
      </c>
      <c r="B43" s="94" t="s">
        <v>137</v>
      </c>
      <c r="C43" s="64" t="s">
        <v>248</v>
      </c>
    </row>
    <row r="44" ht="12.75" customHeight="1">
      <c r="A44" s="79" t="s">
        <v>195</v>
      </c>
      <c r="B44" s="15" t="s">
        <v>95</v>
      </c>
      <c r="C44" s="64" t="s">
        <v>249</v>
      </c>
    </row>
    <row r="45" ht="12.75" customHeight="1">
      <c r="A45" s="79" t="s">
        <v>250</v>
      </c>
      <c r="B45" s="15" t="s">
        <v>115</v>
      </c>
      <c r="C45" s="64" t="s">
        <v>251</v>
      </c>
    </row>
    <row r="46" ht="12.75" customHeight="1">
      <c r="A46" s="79" t="s">
        <v>199</v>
      </c>
      <c r="B46" s="15" t="s">
        <v>138</v>
      </c>
      <c r="C46" s="64" t="s">
        <v>252</v>
      </c>
    </row>
    <row r="47" ht="12.75" customHeight="1">
      <c r="A47" s="79" t="s">
        <v>195</v>
      </c>
      <c r="B47" s="15" t="s">
        <v>96</v>
      </c>
      <c r="C47" s="64" t="s">
        <v>253</v>
      </c>
    </row>
    <row r="48" ht="12.75" customHeight="1">
      <c r="A48" s="79" t="s">
        <v>254</v>
      </c>
      <c r="B48" s="15" t="s">
        <v>116</v>
      </c>
      <c r="C48" s="64" t="s">
        <v>255</v>
      </c>
    </row>
    <row r="49" ht="12.75" customHeight="1">
      <c r="A49" s="93" t="s">
        <v>199</v>
      </c>
      <c r="B49" s="94" t="s">
        <v>140</v>
      </c>
      <c r="C49" s="64" t="s">
        <v>256</v>
      </c>
    </row>
    <row r="50" ht="12.75" customHeight="1">
      <c r="A50" s="79" t="s">
        <v>195</v>
      </c>
      <c r="B50" s="15" t="s">
        <v>97</v>
      </c>
      <c r="C50" s="64" t="s">
        <v>257</v>
      </c>
    </row>
    <row r="51" ht="12.75" customHeight="1">
      <c r="A51" s="79" t="s">
        <v>258</v>
      </c>
      <c r="B51" s="15" t="s">
        <v>117</v>
      </c>
      <c r="C51" s="64" t="s">
        <v>259</v>
      </c>
    </row>
    <row r="52" ht="12.75" customHeight="1">
      <c r="A52" s="79" t="s">
        <v>199</v>
      </c>
      <c r="B52" s="15" t="s">
        <v>141</v>
      </c>
      <c r="C52" s="64" t="s">
        <v>260</v>
      </c>
    </row>
    <row r="53" ht="12.75" customHeight="1">
      <c r="A53" s="79" t="s">
        <v>195</v>
      </c>
      <c r="B53" s="15" t="s">
        <v>98</v>
      </c>
      <c r="C53" s="64" t="s">
        <v>261</v>
      </c>
    </row>
    <row r="54" ht="12.75" customHeight="1">
      <c r="A54" s="79" t="s">
        <v>262</v>
      </c>
      <c r="B54" s="15" t="s">
        <v>119</v>
      </c>
      <c r="C54" s="64" t="s">
        <v>263</v>
      </c>
    </row>
    <row r="55" ht="12.75" customHeight="1">
      <c r="A55" s="93" t="s">
        <v>199</v>
      </c>
      <c r="B55" s="94" t="s">
        <v>142</v>
      </c>
      <c r="C55" s="64" t="s">
        <v>264</v>
      </c>
    </row>
    <row r="56" ht="12.75" customHeight="1">
      <c r="A56" s="79" t="s">
        <v>195</v>
      </c>
      <c r="B56" s="15" t="s">
        <v>99</v>
      </c>
      <c r="C56" s="64" t="s">
        <v>265</v>
      </c>
    </row>
    <row r="57" ht="12.75" customHeight="1">
      <c r="A57" s="79" t="s">
        <v>266</v>
      </c>
      <c r="B57" s="15" t="s">
        <v>120</v>
      </c>
      <c r="C57" s="64" t="s">
        <v>267</v>
      </c>
    </row>
    <row r="58" ht="12.75" customHeight="1">
      <c r="A58" s="93" t="s">
        <v>199</v>
      </c>
      <c r="B58" s="94" t="s">
        <v>143</v>
      </c>
      <c r="C58" s="64" t="s">
        <v>268</v>
      </c>
    </row>
    <row r="59" ht="12.75" customHeight="1">
      <c r="A59" s="79" t="s">
        <v>195</v>
      </c>
      <c r="B59" s="15" t="s">
        <v>100</v>
      </c>
      <c r="C59" s="64" t="s">
        <v>269</v>
      </c>
    </row>
    <row r="60" ht="12.75" customHeight="1">
      <c r="A60" s="79" t="s">
        <v>270</v>
      </c>
      <c r="B60" s="15" t="s">
        <v>121</v>
      </c>
      <c r="C60" s="64" t="s">
        <v>271</v>
      </c>
    </row>
    <row r="61" ht="12.75" customHeight="1">
      <c r="A61" s="93" t="s">
        <v>199</v>
      </c>
      <c r="B61" s="94" t="s">
        <v>144</v>
      </c>
      <c r="C61" s="64" t="s">
        <v>272</v>
      </c>
    </row>
    <row r="62" ht="12.75" customHeight="1">
      <c r="A62" s="79" t="s">
        <v>195</v>
      </c>
      <c r="B62" s="15" t="s">
        <v>101</v>
      </c>
      <c r="C62" s="64" t="s">
        <v>273</v>
      </c>
    </row>
    <row r="63" ht="12.75" customHeight="1">
      <c r="A63" s="79" t="s">
        <v>274</v>
      </c>
      <c r="B63" s="15" t="s">
        <v>122</v>
      </c>
      <c r="C63" s="64" t="s">
        <v>275</v>
      </c>
    </row>
    <row r="64" ht="12.75" customHeight="1">
      <c r="A64" s="93" t="s">
        <v>199</v>
      </c>
      <c r="B64" s="94" t="s">
        <v>145</v>
      </c>
      <c r="C64" s="64" t="s">
        <v>276</v>
      </c>
    </row>
    <row r="65" ht="12.75" customHeight="1">
      <c r="A65" s="15" t="s">
        <v>192</v>
      </c>
    </row>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5" footer="0.0" header="0.0" left="0.7875" right="0.7875" top="0.78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88"/>
    <col customWidth="1" min="2" max="3" width="8.75"/>
    <col customWidth="1" min="4" max="213" width="2.88"/>
  </cols>
  <sheetData>
    <row r="1">
      <c r="A1" s="95" t="s">
        <v>277</v>
      </c>
      <c r="B1" s="96"/>
      <c r="C1" s="69">
        <f>COUNTA(D1:AFC1)</f>
        <v>35</v>
      </c>
      <c r="D1" s="97">
        <v>23.0</v>
      </c>
      <c r="E1" s="97">
        <v>24.0</v>
      </c>
      <c r="F1" s="97">
        <v>25.0</v>
      </c>
      <c r="G1" s="97">
        <v>26.0</v>
      </c>
      <c r="H1" s="97">
        <v>27.0</v>
      </c>
      <c r="I1" s="97">
        <v>28.0</v>
      </c>
      <c r="J1" s="97">
        <v>29.0</v>
      </c>
      <c r="K1" s="97">
        <v>30.0</v>
      </c>
      <c r="L1" s="97">
        <v>31.0</v>
      </c>
      <c r="M1" s="97">
        <v>1.0</v>
      </c>
      <c r="N1" s="97">
        <v>2.0</v>
      </c>
      <c r="O1" s="97">
        <v>2.0</v>
      </c>
      <c r="P1" s="97">
        <v>3.0</v>
      </c>
      <c r="Q1" s="97">
        <v>3.0</v>
      </c>
      <c r="R1" s="97">
        <v>4.0</v>
      </c>
      <c r="S1" s="97">
        <v>4.0</v>
      </c>
      <c r="T1" s="97">
        <v>4.0</v>
      </c>
      <c r="U1" s="97">
        <v>4.0</v>
      </c>
      <c r="V1" s="97">
        <v>4.0</v>
      </c>
      <c r="W1" s="97">
        <v>4.0</v>
      </c>
      <c r="X1" s="97">
        <v>5.0</v>
      </c>
      <c r="Y1" s="97">
        <v>6.0</v>
      </c>
      <c r="Z1" s="97">
        <v>6.0</v>
      </c>
      <c r="AA1" s="98">
        <v>6.0</v>
      </c>
      <c r="AB1" s="97">
        <v>7.0</v>
      </c>
      <c r="AC1" s="97">
        <v>8.0</v>
      </c>
      <c r="AD1" s="97">
        <v>9.0</v>
      </c>
      <c r="AE1" s="97">
        <v>9.0</v>
      </c>
      <c r="AF1" s="97">
        <v>9.0</v>
      </c>
      <c r="AG1" s="97">
        <v>10.0</v>
      </c>
      <c r="AH1" s="97">
        <v>11.0</v>
      </c>
      <c r="AI1" s="97">
        <v>12.0</v>
      </c>
      <c r="AJ1" s="97">
        <v>12.0</v>
      </c>
      <c r="AK1" s="97">
        <v>13.0</v>
      </c>
      <c r="AL1" s="97">
        <v>13.0</v>
      </c>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row>
    <row r="2">
      <c r="A2" s="99" t="s">
        <v>278</v>
      </c>
      <c r="B2" s="100">
        <f>2*C2</f>
        <v>1.142857143</v>
      </c>
      <c r="C2" s="101">
        <f t="shared" ref="C2:C5" si="1">COUNTA(D2:AFO2)/$C$1</f>
        <v>0.5714285714</v>
      </c>
      <c r="D2" s="87" t="s">
        <v>279</v>
      </c>
      <c r="E2" s="87" t="s">
        <v>279</v>
      </c>
      <c r="F2" s="87" t="s">
        <v>279</v>
      </c>
      <c r="G2" s="87" t="s">
        <v>279</v>
      </c>
      <c r="H2" s="87" t="s">
        <v>279</v>
      </c>
      <c r="I2" s="30"/>
      <c r="J2" s="87" t="s">
        <v>279</v>
      </c>
      <c r="K2" s="30"/>
      <c r="L2" s="87" t="s">
        <v>279</v>
      </c>
      <c r="M2" s="87" t="s">
        <v>279</v>
      </c>
      <c r="N2" s="30"/>
      <c r="O2" s="87" t="s">
        <v>279</v>
      </c>
      <c r="P2" s="30"/>
      <c r="Q2" s="87" t="s">
        <v>279</v>
      </c>
      <c r="R2" s="30"/>
      <c r="S2" s="30"/>
      <c r="T2" s="30"/>
      <c r="U2" s="30"/>
      <c r="V2" s="30"/>
      <c r="W2" s="87" t="s">
        <v>279</v>
      </c>
      <c r="X2" s="87" t="s">
        <v>279</v>
      </c>
      <c r="Y2" s="30"/>
      <c r="Z2" s="30"/>
      <c r="AA2" s="87" t="s">
        <v>279</v>
      </c>
      <c r="AB2" s="87" t="s">
        <v>279</v>
      </c>
      <c r="AC2" s="87" t="s">
        <v>279</v>
      </c>
      <c r="AD2" s="30"/>
      <c r="AE2" s="30"/>
      <c r="AF2" s="87" t="s">
        <v>279</v>
      </c>
      <c r="AG2" s="87" t="s">
        <v>279</v>
      </c>
      <c r="AH2" s="87" t="s">
        <v>279</v>
      </c>
      <c r="AI2" s="30"/>
      <c r="AJ2" s="87" t="s">
        <v>279</v>
      </c>
      <c r="AK2" s="30"/>
      <c r="AL2" s="87" t="s">
        <v>279</v>
      </c>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row>
    <row r="3">
      <c r="A3" s="9" t="s">
        <v>280</v>
      </c>
      <c r="B3" s="100">
        <f t="shared" ref="B3:B4" si="2">5*C3</f>
        <v>0.8571428571</v>
      </c>
      <c r="C3" s="101">
        <f t="shared" si="1"/>
        <v>0.1714285714</v>
      </c>
      <c r="D3" s="30"/>
      <c r="E3" s="30"/>
      <c r="F3" s="30"/>
      <c r="G3" s="30"/>
      <c r="H3" s="30"/>
      <c r="I3" s="87" t="s">
        <v>279</v>
      </c>
      <c r="J3" s="30"/>
      <c r="K3" s="87" t="s">
        <v>279</v>
      </c>
      <c r="L3" s="30"/>
      <c r="M3" s="30"/>
      <c r="N3" s="102" t="s">
        <v>279</v>
      </c>
      <c r="O3" s="30"/>
      <c r="P3" s="30"/>
      <c r="Q3" s="30"/>
      <c r="R3" s="102" t="s">
        <v>279</v>
      </c>
      <c r="S3" s="30"/>
      <c r="T3" s="102" t="s">
        <v>279</v>
      </c>
      <c r="U3" s="30"/>
      <c r="V3" s="102" t="s">
        <v>279</v>
      </c>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row>
    <row r="4">
      <c r="A4" s="9" t="s">
        <v>281</v>
      </c>
      <c r="B4" s="100">
        <f t="shared" si="2"/>
        <v>0.2857142857</v>
      </c>
      <c r="C4" s="101">
        <f t="shared" si="1"/>
        <v>0.05714285714</v>
      </c>
      <c r="D4" s="30"/>
      <c r="E4" s="30"/>
      <c r="F4" s="30"/>
      <c r="G4" s="30"/>
      <c r="H4" s="30"/>
      <c r="I4" s="30"/>
      <c r="J4" s="30"/>
      <c r="K4" s="30"/>
      <c r="L4" s="30"/>
      <c r="M4" s="30"/>
      <c r="N4" s="30"/>
      <c r="O4" s="30"/>
      <c r="P4" s="102" t="s">
        <v>279</v>
      </c>
      <c r="Q4" s="30"/>
      <c r="R4" s="30"/>
      <c r="S4" s="102" t="s">
        <v>279</v>
      </c>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row>
    <row r="5">
      <c r="A5" s="9" t="s">
        <v>282</v>
      </c>
      <c r="B5" s="103">
        <f>20000*C5</f>
        <v>4000</v>
      </c>
      <c r="C5" s="101">
        <f t="shared" si="1"/>
        <v>0.2</v>
      </c>
      <c r="D5" s="30"/>
      <c r="E5" s="30"/>
      <c r="F5" s="30"/>
      <c r="G5" s="30"/>
      <c r="H5" s="30"/>
      <c r="I5" s="30"/>
      <c r="J5" s="30"/>
      <c r="K5" s="30"/>
      <c r="L5" s="30"/>
      <c r="M5" s="30"/>
      <c r="N5" s="30"/>
      <c r="O5" s="30"/>
      <c r="P5" s="30"/>
      <c r="Q5" s="30"/>
      <c r="R5" s="30"/>
      <c r="S5" s="30"/>
      <c r="T5" s="30"/>
      <c r="U5" s="102" t="s">
        <v>279</v>
      </c>
      <c r="V5" s="30"/>
      <c r="W5" s="30"/>
      <c r="X5" s="30"/>
      <c r="Y5" s="102" t="s">
        <v>279</v>
      </c>
      <c r="Z5" s="102" t="s">
        <v>279</v>
      </c>
      <c r="AA5" s="30"/>
      <c r="AB5" s="30"/>
      <c r="AC5" s="30"/>
      <c r="AD5" s="102" t="s">
        <v>279</v>
      </c>
      <c r="AE5" s="102" t="s">
        <v>279</v>
      </c>
      <c r="AF5" s="30"/>
      <c r="AG5" s="30"/>
      <c r="AH5" s="30"/>
      <c r="AI5" s="102" t="s">
        <v>279</v>
      </c>
      <c r="AJ5" s="30"/>
      <c r="AK5" s="102" t="s">
        <v>279</v>
      </c>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row>
    <row r="6">
      <c r="A6" s="96"/>
      <c r="B6" s="96"/>
      <c r="C6" s="104"/>
      <c r="D6" s="30"/>
      <c r="E6" s="30"/>
      <c r="F6" s="30"/>
      <c r="G6" s="64" t="s">
        <v>283</v>
      </c>
      <c r="H6" s="30"/>
      <c r="I6" s="30"/>
      <c r="J6" s="30"/>
      <c r="K6" s="30"/>
      <c r="L6" s="30"/>
      <c r="M6" s="30"/>
      <c r="N6" s="30"/>
      <c r="O6" s="30"/>
      <c r="P6" s="30"/>
      <c r="Q6" s="30"/>
      <c r="R6" s="30"/>
      <c r="S6" s="30"/>
      <c r="T6" s="30"/>
      <c r="U6" s="30"/>
      <c r="V6" s="30"/>
      <c r="W6" s="30"/>
      <c r="X6" s="30"/>
      <c r="Y6" s="30"/>
      <c r="Z6" s="30"/>
      <c r="AA6" s="30"/>
      <c r="AB6" s="64" t="s">
        <v>284</v>
      </c>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c r="FV6" s="30"/>
      <c r="FW6" s="30"/>
      <c r="FX6" s="30"/>
      <c r="FY6" s="30"/>
      <c r="FZ6" s="30"/>
      <c r="GA6" s="30"/>
      <c r="GB6" s="30"/>
      <c r="GC6" s="30"/>
      <c r="GD6" s="30"/>
      <c r="GE6" s="30"/>
      <c r="GF6" s="30"/>
      <c r="GG6" s="30"/>
      <c r="GH6" s="30"/>
      <c r="GI6" s="30"/>
      <c r="GJ6" s="30"/>
      <c r="GK6" s="30"/>
      <c r="GL6" s="30"/>
      <c r="GM6" s="30"/>
      <c r="GN6" s="30"/>
      <c r="GO6" s="30"/>
      <c r="GP6" s="30"/>
      <c r="GQ6" s="30"/>
      <c r="GR6" s="30"/>
      <c r="GS6" s="30"/>
      <c r="GT6" s="30"/>
      <c r="GU6" s="30"/>
      <c r="GV6" s="30"/>
      <c r="GW6" s="30"/>
      <c r="GX6" s="30"/>
      <c r="GY6" s="30"/>
      <c r="GZ6" s="30"/>
      <c r="HA6" s="30"/>
      <c r="HB6" s="30"/>
      <c r="HC6" s="30"/>
      <c r="HD6" s="30"/>
      <c r="HE6" s="30"/>
    </row>
    <row r="7">
      <c r="A7" s="96"/>
      <c r="B7" s="96"/>
      <c r="C7" s="105"/>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c r="FV7" s="30"/>
      <c r="FW7" s="30"/>
      <c r="FX7" s="30"/>
      <c r="FY7" s="30"/>
      <c r="FZ7" s="30"/>
      <c r="GA7" s="30"/>
      <c r="GB7" s="30"/>
      <c r="GC7" s="30"/>
      <c r="GD7" s="30"/>
      <c r="GE7" s="30"/>
      <c r="GF7" s="30"/>
      <c r="GG7" s="30"/>
      <c r="GH7" s="30"/>
      <c r="GI7" s="30"/>
      <c r="GJ7" s="30"/>
      <c r="GK7" s="30"/>
      <c r="GL7" s="30"/>
      <c r="GM7" s="30"/>
      <c r="GN7" s="30"/>
      <c r="GO7" s="30"/>
      <c r="GP7" s="30"/>
      <c r="GQ7" s="30"/>
      <c r="GR7" s="30"/>
      <c r="GS7" s="30"/>
      <c r="GT7" s="30"/>
      <c r="GU7" s="30"/>
      <c r="GV7" s="30"/>
      <c r="GW7" s="30"/>
      <c r="GX7" s="30"/>
      <c r="GY7" s="30"/>
      <c r="GZ7" s="30"/>
      <c r="HA7" s="30"/>
      <c r="HB7" s="30"/>
      <c r="HC7" s="30"/>
      <c r="HD7" s="30"/>
      <c r="HE7" s="30"/>
    </row>
    <row r="8">
      <c r="A8" s="96"/>
      <c r="B8" s="96"/>
      <c r="C8" s="105"/>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c r="ES8" s="30"/>
      <c r="ET8" s="30"/>
      <c r="EU8" s="30"/>
      <c r="EV8" s="30"/>
      <c r="EW8" s="30"/>
      <c r="EX8" s="30"/>
      <c r="EY8" s="30"/>
      <c r="EZ8" s="30"/>
      <c r="FA8" s="30"/>
      <c r="FB8" s="30"/>
      <c r="FC8" s="30"/>
      <c r="FD8" s="30"/>
      <c r="FE8" s="30"/>
      <c r="FF8" s="30"/>
      <c r="FG8" s="30"/>
      <c r="FH8" s="30"/>
      <c r="FI8" s="30"/>
      <c r="FJ8" s="30"/>
      <c r="FK8" s="30"/>
      <c r="FL8" s="30"/>
      <c r="FM8" s="30"/>
      <c r="FN8" s="30"/>
      <c r="FO8" s="30"/>
      <c r="FP8" s="30"/>
      <c r="FQ8" s="30"/>
      <c r="FR8" s="30"/>
      <c r="FS8" s="30"/>
      <c r="FT8" s="30"/>
      <c r="FU8" s="30"/>
      <c r="FV8" s="30"/>
      <c r="FW8" s="30"/>
      <c r="FX8" s="30"/>
      <c r="FY8" s="30"/>
      <c r="FZ8" s="30"/>
      <c r="GA8" s="30"/>
      <c r="GB8" s="30"/>
      <c r="GC8" s="30"/>
      <c r="GD8" s="30"/>
      <c r="GE8" s="30"/>
      <c r="GF8" s="30"/>
      <c r="GG8" s="30"/>
      <c r="GH8" s="30"/>
      <c r="GI8" s="30"/>
      <c r="GJ8" s="30"/>
      <c r="GK8" s="30"/>
      <c r="GL8" s="30"/>
      <c r="GM8" s="30"/>
      <c r="GN8" s="30"/>
      <c r="GO8" s="30"/>
      <c r="GP8" s="30"/>
      <c r="GQ8" s="30"/>
      <c r="GR8" s="30"/>
      <c r="GS8" s="30"/>
      <c r="GT8" s="30"/>
      <c r="GU8" s="30"/>
      <c r="GV8" s="30"/>
      <c r="GW8" s="30"/>
      <c r="GX8" s="30"/>
      <c r="GY8" s="30"/>
      <c r="GZ8" s="30"/>
      <c r="HA8" s="30"/>
      <c r="HB8" s="30"/>
      <c r="HC8" s="30"/>
      <c r="HD8" s="30"/>
      <c r="HE8" s="30"/>
    </row>
    <row r="9">
      <c r="A9" s="95" t="s">
        <v>285</v>
      </c>
      <c r="B9" s="9" t="s">
        <v>286</v>
      </c>
      <c r="C9" s="69">
        <f>COUNTA(D10:AFO28)</f>
        <v>87</v>
      </c>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c r="FV9" s="30"/>
      <c r="FW9" s="30"/>
      <c r="FX9" s="30"/>
      <c r="FY9" s="30"/>
      <c r="FZ9" s="30"/>
      <c r="GA9" s="30"/>
      <c r="GB9" s="30"/>
      <c r="GC9" s="30"/>
      <c r="GD9" s="30"/>
      <c r="GE9" s="30"/>
      <c r="GF9" s="30"/>
      <c r="GG9" s="30"/>
      <c r="GH9" s="30"/>
      <c r="GI9" s="30"/>
      <c r="GJ9" s="30"/>
      <c r="GK9" s="30"/>
      <c r="GL9" s="30"/>
      <c r="GM9" s="30"/>
      <c r="GN9" s="30"/>
      <c r="GO9" s="30"/>
      <c r="GP9" s="30"/>
      <c r="GQ9" s="30"/>
      <c r="GR9" s="30"/>
      <c r="GS9" s="30"/>
      <c r="GT9" s="30"/>
      <c r="GU9" s="30"/>
      <c r="GV9" s="30"/>
      <c r="GW9" s="30"/>
      <c r="GX9" s="30"/>
      <c r="GY9" s="30"/>
      <c r="GZ9" s="30"/>
      <c r="HA9" s="30"/>
      <c r="HB9" s="30"/>
      <c r="HC9" s="30"/>
      <c r="HD9" s="30"/>
      <c r="HE9" s="30"/>
    </row>
    <row r="10">
      <c r="A10" s="9" t="s">
        <v>287</v>
      </c>
      <c r="B10" s="106">
        <f t="shared" ref="B10:B11" si="3">3*C10</f>
        <v>0.5172413793</v>
      </c>
      <c r="C10" s="101">
        <f t="shared" ref="C10:C28" si="4">COUNTA(D10:AFO10)/$C$9</f>
        <v>0.1724137931</v>
      </c>
      <c r="D10" s="30"/>
      <c r="E10" s="30"/>
      <c r="F10" s="30"/>
      <c r="G10" s="30"/>
      <c r="H10" s="30"/>
      <c r="I10" s="87" t="s">
        <v>279</v>
      </c>
      <c r="J10" s="87" t="s">
        <v>279</v>
      </c>
      <c r="K10" s="30"/>
      <c r="L10" s="87" t="s">
        <v>279</v>
      </c>
      <c r="M10" s="30"/>
      <c r="N10" s="87" t="s">
        <v>279</v>
      </c>
      <c r="O10" s="30"/>
      <c r="P10" s="30"/>
      <c r="Q10" s="30"/>
      <c r="R10" s="30"/>
      <c r="S10" s="30"/>
      <c r="T10" s="30"/>
      <c r="U10" s="87" t="s">
        <v>279</v>
      </c>
      <c r="V10" s="30"/>
      <c r="W10" s="30"/>
      <c r="X10" s="30"/>
      <c r="Y10" s="87" t="s">
        <v>279</v>
      </c>
      <c r="Z10" s="30"/>
      <c r="AA10" s="30"/>
      <c r="AB10" s="30"/>
      <c r="AC10" s="30"/>
      <c r="AD10" s="30"/>
      <c r="AE10" s="30"/>
      <c r="AF10" s="30"/>
      <c r="AG10" s="30"/>
      <c r="AH10" s="30"/>
      <c r="AI10" s="30"/>
      <c r="AJ10" s="30"/>
      <c r="AK10" s="87" t="s">
        <v>279</v>
      </c>
      <c r="AL10" s="30"/>
      <c r="AM10" s="30"/>
      <c r="AN10" s="30"/>
      <c r="AO10" s="30"/>
      <c r="AP10" s="30"/>
      <c r="AQ10" s="30"/>
      <c r="AR10" s="30"/>
      <c r="AS10" s="87" t="s">
        <v>279</v>
      </c>
      <c r="AT10" s="30"/>
      <c r="AU10" s="30"/>
      <c r="AV10" s="30"/>
      <c r="AW10" s="30"/>
      <c r="AX10" s="87" t="s">
        <v>279</v>
      </c>
      <c r="AY10" s="30"/>
      <c r="AZ10" s="30"/>
      <c r="BA10" s="30"/>
      <c r="BB10" s="30"/>
      <c r="BC10" s="30"/>
      <c r="BD10" s="30"/>
      <c r="BE10" s="30"/>
      <c r="BF10" s="30"/>
      <c r="BG10" s="30"/>
      <c r="BH10" s="30"/>
      <c r="BI10" s="30"/>
      <c r="BJ10" s="30"/>
      <c r="BK10" s="30"/>
      <c r="BL10" s="30"/>
      <c r="BM10" s="30"/>
      <c r="BN10" s="30"/>
      <c r="BO10" s="30"/>
      <c r="BP10" s="30"/>
      <c r="BQ10" s="30"/>
      <c r="BR10" s="87" t="s">
        <v>288</v>
      </c>
      <c r="BS10" s="30"/>
      <c r="BT10" s="30"/>
      <c r="BU10" s="87" t="s">
        <v>289</v>
      </c>
      <c r="BV10" s="30"/>
      <c r="BW10" s="30"/>
      <c r="BX10" s="87" t="s">
        <v>290</v>
      </c>
      <c r="BY10" s="30"/>
      <c r="BZ10" s="30"/>
      <c r="CA10" s="30"/>
      <c r="CB10" s="30"/>
      <c r="CC10" s="30"/>
      <c r="CD10" s="30"/>
      <c r="CE10" s="30"/>
      <c r="CF10" s="30"/>
      <c r="CG10" s="87" t="s">
        <v>291</v>
      </c>
      <c r="CH10" s="30"/>
      <c r="CI10" s="30"/>
      <c r="CJ10" s="30"/>
      <c r="CK10" s="87" t="s">
        <v>292</v>
      </c>
      <c r="CL10" s="30"/>
      <c r="CM10" s="30"/>
      <c r="CN10" s="30"/>
      <c r="CO10" s="87" t="s">
        <v>293</v>
      </c>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c r="HE10" s="30"/>
    </row>
    <row r="11">
      <c r="A11" s="9" t="s">
        <v>294</v>
      </c>
      <c r="B11" s="106">
        <f t="shared" si="3"/>
        <v>0.4482758621</v>
      </c>
      <c r="C11" s="101">
        <f t="shared" si="4"/>
        <v>0.1494252874</v>
      </c>
      <c r="D11" s="87" t="s">
        <v>279</v>
      </c>
      <c r="E11" s="30"/>
      <c r="F11" s="30"/>
      <c r="G11" s="30"/>
      <c r="H11" s="30"/>
      <c r="I11" s="30"/>
      <c r="J11" s="30"/>
      <c r="K11" s="30"/>
      <c r="L11" s="30"/>
      <c r="M11" s="30"/>
      <c r="N11" s="30"/>
      <c r="O11" s="30"/>
      <c r="P11" s="30"/>
      <c r="Q11" s="30"/>
      <c r="R11" s="87" t="s">
        <v>279</v>
      </c>
      <c r="S11" s="30"/>
      <c r="T11" s="30"/>
      <c r="U11" s="30"/>
      <c r="V11" s="30"/>
      <c r="W11" s="30"/>
      <c r="X11" s="30"/>
      <c r="Y11" s="30"/>
      <c r="Z11" s="30"/>
      <c r="AA11" s="30"/>
      <c r="AB11" s="30"/>
      <c r="AC11" s="30"/>
      <c r="AD11" s="87" t="s">
        <v>279</v>
      </c>
      <c r="AE11" s="30"/>
      <c r="AF11" s="30"/>
      <c r="AG11" s="30"/>
      <c r="AH11" s="30"/>
      <c r="AI11" s="30"/>
      <c r="AJ11" s="87" t="s">
        <v>279</v>
      </c>
      <c r="AK11" s="30"/>
      <c r="AL11" s="30"/>
      <c r="AM11" s="30"/>
      <c r="AN11" s="30"/>
      <c r="AO11" s="87" t="s">
        <v>279</v>
      </c>
      <c r="AP11" s="30"/>
      <c r="AQ11" s="30"/>
      <c r="AR11" s="30"/>
      <c r="AS11" s="30"/>
      <c r="AT11" s="30"/>
      <c r="AU11" s="30"/>
      <c r="AV11" s="30"/>
      <c r="AW11" s="30"/>
      <c r="AX11" s="30"/>
      <c r="AY11" s="30"/>
      <c r="AZ11" s="30"/>
      <c r="BA11" s="9" t="s">
        <v>295</v>
      </c>
      <c r="BB11" s="64" t="s">
        <v>296</v>
      </c>
      <c r="BC11" s="30"/>
      <c r="BD11" s="30"/>
      <c r="BE11" s="30"/>
      <c r="BF11" s="30"/>
      <c r="BG11" s="30"/>
      <c r="BH11" s="87" t="s">
        <v>295</v>
      </c>
      <c r="BI11" s="30"/>
      <c r="BJ11" s="30"/>
      <c r="BK11" s="87" t="s">
        <v>296</v>
      </c>
      <c r="BL11" s="30"/>
      <c r="BM11" s="30"/>
      <c r="BN11" s="30"/>
      <c r="BO11" s="87" t="s">
        <v>289</v>
      </c>
      <c r="BP11" s="30"/>
      <c r="BQ11" s="30"/>
      <c r="BR11" s="30"/>
      <c r="BS11" s="87" t="s">
        <v>297</v>
      </c>
      <c r="BT11" s="30"/>
      <c r="BU11" s="30"/>
      <c r="BV11" s="30"/>
      <c r="BW11" s="30"/>
      <c r="BX11" s="30"/>
      <c r="BY11" s="30"/>
      <c r="BZ11" s="87" t="s">
        <v>298</v>
      </c>
      <c r="CA11" s="30"/>
      <c r="CB11" s="30"/>
      <c r="CC11" s="30"/>
      <c r="CD11" s="30"/>
      <c r="CE11" s="30"/>
      <c r="CF11" s="30"/>
      <c r="CG11" s="30"/>
      <c r="CH11" s="30"/>
      <c r="CI11" s="30"/>
      <c r="CJ11" s="30"/>
      <c r="CK11" s="30"/>
      <c r="CL11" s="30"/>
      <c r="CM11" s="30"/>
      <c r="CN11" s="87" t="s">
        <v>299</v>
      </c>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row>
    <row r="12">
      <c r="A12" s="9" t="s">
        <v>300</v>
      </c>
      <c r="B12" s="106">
        <f>15000*C12</f>
        <v>7241.37931</v>
      </c>
      <c r="C12" s="101">
        <f t="shared" si="4"/>
        <v>0.4827586207</v>
      </c>
      <c r="D12" s="30"/>
      <c r="E12" s="30"/>
      <c r="F12" s="87" t="s">
        <v>279</v>
      </c>
      <c r="G12" s="30"/>
      <c r="H12" s="30"/>
      <c r="I12" s="30"/>
      <c r="J12" s="30"/>
      <c r="K12" s="87" t="s">
        <v>279</v>
      </c>
      <c r="L12" s="30"/>
      <c r="M12" s="87" t="s">
        <v>279</v>
      </c>
      <c r="N12" s="30"/>
      <c r="O12" s="87" t="s">
        <v>279</v>
      </c>
      <c r="P12" s="87" t="s">
        <v>279</v>
      </c>
      <c r="Q12" s="87" t="s">
        <v>279</v>
      </c>
      <c r="R12" s="30"/>
      <c r="S12" s="87" t="s">
        <v>279</v>
      </c>
      <c r="T12" s="87" t="s">
        <v>279</v>
      </c>
      <c r="U12" s="30"/>
      <c r="V12" s="87" t="s">
        <v>279</v>
      </c>
      <c r="W12" s="87" t="s">
        <v>279</v>
      </c>
      <c r="X12" s="87" t="s">
        <v>279</v>
      </c>
      <c r="Y12" s="30"/>
      <c r="Z12" s="87" t="s">
        <v>279</v>
      </c>
      <c r="AA12" s="87" t="s">
        <v>279</v>
      </c>
      <c r="AB12" s="30"/>
      <c r="AC12" s="87" t="s">
        <v>279</v>
      </c>
      <c r="AD12" s="30"/>
      <c r="AE12" s="30"/>
      <c r="AF12" s="87" t="s">
        <v>279</v>
      </c>
      <c r="AG12" s="30"/>
      <c r="AH12" s="87" t="s">
        <v>279</v>
      </c>
      <c r="AI12" s="87" t="s">
        <v>279</v>
      </c>
      <c r="AJ12" s="30"/>
      <c r="AK12" s="30"/>
      <c r="AL12" s="87" t="s">
        <v>279</v>
      </c>
      <c r="AM12" s="30"/>
      <c r="AN12" s="87" t="s">
        <v>279</v>
      </c>
      <c r="AO12" s="30"/>
      <c r="AP12" s="87" t="s">
        <v>279</v>
      </c>
      <c r="AQ12" s="87" t="s">
        <v>279</v>
      </c>
      <c r="AR12" s="87" t="s">
        <v>279</v>
      </c>
      <c r="AS12" s="30"/>
      <c r="AT12" s="87" t="s">
        <v>279</v>
      </c>
      <c r="AU12" s="87" t="s">
        <v>279</v>
      </c>
      <c r="AV12" s="87" t="s">
        <v>279</v>
      </c>
      <c r="AW12" s="87" t="s">
        <v>279</v>
      </c>
      <c r="AX12" s="30"/>
      <c r="AY12" s="87" t="s">
        <v>279</v>
      </c>
      <c r="AZ12" s="30"/>
      <c r="BA12" s="30"/>
      <c r="BB12" s="30"/>
      <c r="BC12" s="30"/>
      <c r="BD12" s="87" t="s">
        <v>279</v>
      </c>
      <c r="BE12" s="30"/>
      <c r="BF12" s="30"/>
      <c r="BG12" s="87" t="s">
        <v>279</v>
      </c>
      <c r="BH12" s="30"/>
      <c r="BI12" s="87" t="s">
        <v>279</v>
      </c>
      <c r="BJ12" s="87" t="s">
        <v>279</v>
      </c>
      <c r="BK12" s="30"/>
      <c r="BL12" s="30"/>
      <c r="BM12" s="87" t="s">
        <v>279</v>
      </c>
      <c r="BN12" s="87" t="s">
        <v>279</v>
      </c>
      <c r="BO12" s="30"/>
      <c r="BP12" s="30"/>
      <c r="BQ12" s="87" t="s">
        <v>279</v>
      </c>
      <c r="BR12" s="30"/>
      <c r="BS12" s="30"/>
      <c r="BT12" s="30"/>
      <c r="BU12" s="30"/>
      <c r="BV12" s="87" t="s">
        <v>279</v>
      </c>
      <c r="BW12" s="87" t="s">
        <v>279</v>
      </c>
      <c r="BX12" s="30"/>
      <c r="BY12" s="30"/>
      <c r="BZ12" s="30"/>
      <c r="CA12" s="87" t="s">
        <v>279</v>
      </c>
      <c r="CB12" s="87" t="s">
        <v>279</v>
      </c>
      <c r="CC12" s="87" t="s">
        <v>279</v>
      </c>
      <c r="CD12" s="30"/>
      <c r="CE12" s="87" t="s">
        <v>279</v>
      </c>
      <c r="CF12" s="30"/>
      <c r="CG12" s="30"/>
      <c r="CH12" s="87" t="s">
        <v>279</v>
      </c>
      <c r="CI12" s="30"/>
      <c r="CJ12" s="30"/>
      <c r="CK12" s="30"/>
      <c r="CL12" s="30"/>
      <c r="CM12" s="30"/>
      <c r="CN12" s="30"/>
      <c r="CO12" s="30"/>
      <c r="CP12" s="30"/>
      <c r="CQ12" s="87" t="s">
        <v>279</v>
      </c>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row>
    <row r="13">
      <c r="A13" s="9" t="s">
        <v>278</v>
      </c>
      <c r="B13" s="106">
        <f>2*C13</f>
        <v>0.183908046</v>
      </c>
      <c r="C13" s="101">
        <f t="shared" si="4"/>
        <v>0.09195402299</v>
      </c>
      <c r="D13" s="30"/>
      <c r="E13" s="30"/>
      <c r="F13" s="30"/>
      <c r="G13" s="30"/>
      <c r="H13" s="87" t="s">
        <v>279</v>
      </c>
      <c r="I13" s="30"/>
      <c r="J13" s="30"/>
      <c r="K13" s="30"/>
      <c r="L13" s="30"/>
      <c r="M13" s="30"/>
      <c r="N13" s="30"/>
      <c r="O13" s="30"/>
      <c r="P13" s="30"/>
      <c r="Q13" s="30"/>
      <c r="R13" s="30"/>
      <c r="S13" s="30"/>
      <c r="T13" s="30"/>
      <c r="U13" s="30"/>
      <c r="V13" s="30"/>
      <c r="W13" s="30"/>
      <c r="X13" s="30"/>
      <c r="Y13" s="30"/>
      <c r="Z13" s="30"/>
      <c r="AA13" s="30"/>
      <c r="AB13" s="87" t="s">
        <v>279</v>
      </c>
      <c r="AC13" s="30"/>
      <c r="AD13" s="30"/>
      <c r="AE13" s="30"/>
      <c r="AF13" s="30"/>
      <c r="AG13" s="87" t="s">
        <v>279</v>
      </c>
      <c r="AH13" s="30"/>
      <c r="AI13" s="30"/>
      <c r="AJ13" s="30"/>
      <c r="AK13" s="30"/>
      <c r="AL13" s="30"/>
      <c r="AM13" s="87" t="s">
        <v>279</v>
      </c>
      <c r="AN13" s="30"/>
      <c r="AO13" s="30"/>
      <c r="AP13" s="30"/>
      <c r="AQ13" s="30"/>
      <c r="AR13" s="30"/>
      <c r="AS13" s="30"/>
      <c r="AT13" s="30"/>
      <c r="AU13" s="30"/>
      <c r="AV13" s="30"/>
      <c r="AW13" s="30"/>
      <c r="AX13" s="30"/>
      <c r="AY13" s="30"/>
      <c r="AZ13" s="30"/>
      <c r="BA13" s="30"/>
      <c r="BB13" s="30"/>
      <c r="BC13" s="30"/>
      <c r="BD13" s="30"/>
      <c r="BE13" s="30"/>
      <c r="BF13" s="87" t="s">
        <v>279</v>
      </c>
      <c r="BG13" s="30"/>
      <c r="BH13" s="30"/>
      <c r="BI13" s="30"/>
      <c r="BJ13" s="30"/>
      <c r="BK13" s="30"/>
      <c r="BL13" s="30"/>
      <c r="BM13" s="30"/>
      <c r="BN13" s="30"/>
      <c r="BO13" s="30"/>
      <c r="BP13" s="87" t="s">
        <v>279</v>
      </c>
      <c r="BQ13" s="30"/>
      <c r="BR13" s="30"/>
      <c r="BS13" s="30"/>
      <c r="BT13" s="30"/>
      <c r="BU13" s="30"/>
      <c r="BV13" s="30"/>
      <c r="BW13" s="30"/>
      <c r="BX13" s="30"/>
      <c r="BY13" s="30"/>
      <c r="BZ13" s="30"/>
      <c r="CA13" s="30"/>
      <c r="CB13" s="30"/>
      <c r="CC13" s="30"/>
      <c r="CD13" s="30"/>
      <c r="CE13" s="30"/>
      <c r="CF13" s="30"/>
      <c r="CG13" s="30"/>
      <c r="CH13" s="30"/>
      <c r="CI13" s="87" t="s">
        <v>279</v>
      </c>
      <c r="CJ13" s="30"/>
      <c r="CK13" s="30"/>
      <c r="CL13" s="30"/>
      <c r="CM13" s="87" t="s">
        <v>279</v>
      </c>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row>
    <row r="14">
      <c r="A14" s="64" t="s">
        <v>301</v>
      </c>
      <c r="B14" s="106">
        <f t="shared" ref="B14:B28" si="5">20*C14</f>
        <v>0.2298850575</v>
      </c>
      <c r="C14" s="101">
        <f t="shared" si="4"/>
        <v>0.01149425287</v>
      </c>
      <c r="D14" s="30"/>
      <c r="E14" s="87" t="s">
        <v>279</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row>
    <row r="15">
      <c r="A15" s="64" t="s">
        <v>302</v>
      </c>
      <c r="B15" s="106">
        <f t="shared" si="5"/>
        <v>0</v>
      </c>
      <c r="C15" s="101">
        <f t="shared" si="4"/>
        <v>0</v>
      </c>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row>
    <row r="16">
      <c r="A16" s="64" t="s">
        <v>303</v>
      </c>
      <c r="B16" s="106">
        <f t="shared" si="5"/>
        <v>0.2298850575</v>
      </c>
      <c r="C16" s="101">
        <f t="shared" si="4"/>
        <v>0.01149425287</v>
      </c>
      <c r="D16" s="30"/>
      <c r="E16" s="30"/>
      <c r="F16" s="30"/>
      <c r="G16" s="87" t="s">
        <v>279</v>
      </c>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row>
    <row r="17">
      <c r="A17" s="64" t="s">
        <v>304</v>
      </c>
      <c r="B17" s="106">
        <f t="shared" si="5"/>
        <v>0</v>
      </c>
      <c r="C17" s="101">
        <f t="shared" si="4"/>
        <v>0</v>
      </c>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row>
    <row r="18">
      <c r="A18" s="64" t="s">
        <v>305</v>
      </c>
      <c r="B18" s="106">
        <f t="shared" si="5"/>
        <v>0.2298850575</v>
      </c>
      <c r="C18" s="101">
        <f t="shared" si="4"/>
        <v>0.01149425287</v>
      </c>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87" t="s">
        <v>279</v>
      </c>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row>
    <row r="19">
      <c r="A19" s="64" t="s">
        <v>306</v>
      </c>
      <c r="B19" s="106">
        <f t="shared" si="5"/>
        <v>0</v>
      </c>
      <c r="C19" s="101">
        <f t="shared" si="4"/>
        <v>0</v>
      </c>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c r="FV19" s="30"/>
      <c r="FW19" s="30"/>
      <c r="FX19" s="30"/>
      <c r="FY19" s="30"/>
      <c r="FZ19" s="30"/>
      <c r="GA19" s="30"/>
      <c r="GB19" s="30"/>
      <c r="GC19" s="30"/>
      <c r="GD19" s="30"/>
      <c r="GE19" s="30"/>
      <c r="GF19" s="30"/>
      <c r="GG19" s="30"/>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row>
    <row r="20">
      <c r="A20" s="64" t="s">
        <v>307</v>
      </c>
      <c r="B20" s="106">
        <f t="shared" si="5"/>
        <v>0.2298850575</v>
      </c>
      <c r="C20" s="101">
        <f t="shared" si="4"/>
        <v>0.01149425287</v>
      </c>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87" t="s">
        <v>279</v>
      </c>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row>
    <row r="21">
      <c r="A21" s="64" t="s">
        <v>308</v>
      </c>
      <c r="B21" s="106">
        <f t="shared" si="5"/>
        <v>0.2298850575</v>
      </c>
      <c r="C21" s="101">
        <f t="shared" si="4"/>
        <v>0.01149425287</v>
      </c>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87" t="s">
        <v>279</v>
      </c>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0"/>
      <c r="GM21" s="30"/>
      <c r="GN21" s="30"/>
      <c r="GO21" s="30"/>
      <c r="GP21" s="30"/>
      <c r="GQ21" s="30"/>
      <c r="GR21" s="30"/>
      <c r="GS21" s="30"/>
      <c r="GT21" s="30"/>
      <c r="GU21" s="30"/>
      <c r="GV21" s="30"/>
      <c r="GW21" s="30"/>
      <c r="GX21" s="30"/>
      <c r="GY21" s="30"/>
      <c r="GZ21" s="30"/>
      <c r="HA21" s="30"/>
      <c r="HB21" s="30"/>
      <c r="HC21" s="30"/>
      <c r="HD21" s="30"/>
      <c r="HE21" s="30"/>
    </row>
    <row r="22">
      <c r="A22" s="64" t="s">
        <v>309</v>
      </c>
      <c r="B22" s="106">
        <f t="shared" si="5"/>
        <v>0</v>
      </c>
      <c r="C22" s="101">
        <f t="shared" si="4"/>
        <v>0</v>
      </c>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c r="FW22" s="30"/>
      <c r="FX22" s="30"/>
      <c r="FY22" s="30"/>
      <c r="FZ22" s="30"/>
      <c r="GA22" s="30"/>
      <c r="GB22" s="30"/>
      <c r="GC22" s="30"/>
      <c r="GD22" s="30"/>
      <c r="GE22" s="30"/>
      <c r="GF22" s="30"/>
      <c r="GG22" s="30"/>
      <c r="GH22" s="30"/>
      <c r="GI22" s="30"/>
      <c r="GJ22" s="30"/>
      <c r="GK22" s="30"/>
      <c r="GL22" s="30"/>
      <c r="GM22" s="30"/>
      <c r="GN22" s="30"/>
      <c r="GO22" s="30"/>
      <c r="GP22" s="30"/>
      <c r="GQ22" s="30"/>
      <c r="GR22" s="30"/>
      <c r="GS22" s="30"/>
      <c r="GT22" s="30"/>
      <c r="GU22" s="30"/>
      <c r="GV22" s="30"/>
      <c r="GW22" s="30"/>
      <c r="GX22" s="30"/>
      <c r="GY22" s="30"/>
      <c r="GZ22" s="30"/>
      <c r="HA22" s="30"/>
      <c r="HB22" s="30"/>
      <c r="HC22" s="30"/>
      <c r="HD22" s="30"/>
      <c r="HE22" s="30"/>
    </row>
    <row r="23">
      <c r="A23" s="64" t="s">
        <v>310</v>
      </c>
      <c r="B23" s="106">
        <f t="shared" si="5"/>
        <v>0.2298850575</v>
      </c>
      <c r="C23" s="101">
        <f t="shared" si="4"/>
        <v>0.01149425287</v>
      </c>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87" t="s">
        <v>279</v>
      </c>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c r="FW23" s="30"/>
      <c r="FX23" s="30"/>
      <c r="FY23" s="30"/>
      <c r="FZ23" s="30"/>
      <c r="GA23" s="30"/>
      <c r="GB23" s="30"/>
      <c r="GC23" s="30"/>
      <c r="GD23" s="30"/>
      <c r="GE23" s="30"/>
      <c r="GF23" s="30"/>
      <c r="GG23" s="30"/>
      <c r="GH23" s="30"/>
      <c r="GI23" s="30"/>
      <c r="GJ23" s="30"/>
      <c r="GK23" s="30"/>
      <c r="GL23" s="30"/>
      <c r="GM23" s="30"/>
      <c r="GN23" s="30"/>
      <c r="GO23" s="30"/>
      <c r="GP23" s="30"/>
      <c r="GQ23" s="30"/>
      <c r="GR23" s="30"/>
      <c r="GS23" s="30"/>
      <c r="GT23" s="30"/>
      <c r="GU23" s="30"/>
      <c r="GV23" s="30"/>
      <c r="GW23" s="30"/>
      <c r="GX23" s="30"/>
      <c r="GY23" s="30"/>
      <c r="GZ23" s="30"/>
      <c r="HA23" s="30"/>
      <c r="HB23" s="30"/>
      <c r="HC23" s="30"/>
      <c r="HD23" s="30"/>
      <c r="HE23" s="30"/>
    </row>
    <row r="24">
      <c r="A24" s="64" t="s">
        <v>311</v>
      </c>
      <c r="B24" s="106">
        <f t="shared" si="5"/>
        <v>0.2298850575</v>
      </c>
      <c r="C24" s="101">
        <f t="shared" si="4"/>
        <v>0.01149425287</v>
      </c>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87" t="s">
        <v>279</v>
      </c>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c r="FW24" s="30"/>
      <c r="FX24" s="30"/>
      <c r="FY24" s="30"/>
      <c r="FZ24" s="30"/>
      <c r="GA24" s="30"/>
      <c r="GB24" s="30"/>
      <c r="GC24" s="30"/>
      <c r="GD24" s="30"/>
      <c r="GE24" s="30"/>
      <c r="GF24" s="30"/>
      <c r="GG24" s="30"/>
      <c r="GH24" s="30"/>
      <c r="GI24" s="30"/>
      <c r="GJ24" s="30"/>
      <c r="GK24" s="30"/>
      <c r="GL24" s="30"/>
      <c r="GM24" s="30"/>
      <c r="GN24" s="30"/>
      <c r="GO24" s="30"/>
      <c r="GP24" s="30"/>
      <c r="GQ24" s="30"/>
      <c r="GR24" s="30"/>
      <c r="GS24" s="30"/>
      <c r="GT24" s="30"/>
      <c r="GU24" s="30"/>
      <c r="GV24" s="30"/>
      <c r="GW24" s="30"/>
      <c r="GX24" s="30"/>
      <c r="GY24" s="30"/>
      <c r="GZ24" s="30"/>
      <c r="HA24" s="30"/>
      <c r="HB24" s="30"/>
      <c r="HC24" s="30"/>
      <c r="HD24" s="30"/>
      <c r="HE24" s="30"/>
    </row>
    <row r="25">
      <c r="A25" s="64" t="s">
        <v>312</v>
      </c>
      <c r="B25" s="106">
        <f t="shared" si="5"/>
        <v>0</v>
      </c>
      <c r="C25" s="101">
        <f t="shared" si="4"/>
        <v>0</v>
      </c>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0"/>
      <c r="GM25" s="30"/>
      <c r="GN25" s="30"/>
      <c r="GO25" s="30"/>
      <c r="GP25" s="30"/>
      <c r="GQ25" s="30"/>
      <c r="GR25" s="30"/>
      <c r="GS25" s="30"/>
      <c r="GT25" s="30"/>
      <c r="GU25" s="30"/>
      <c r="GV25" s="30"/>
      <c r="GW25" s="30"/>
      <c r="GX25" s="30"/>
      <c r="GY25" s="30"/>
      <c r="GZ25" s="30"/>
      <c r="HA25" s="30"/>
      <c r="HB25" s="30"/>
      <c r="HC25" s="30"/>
      <c r="HD25" s="30"/>
      <c r="HE25" s="30"/>
    </row>
    <row r="26">
      <c r="A26" s="64" t="s">
        <v>313</v>
      </c>
      <c r="B26" s="106">
        <f t="shared" si="5"/>
        <v>0.2298850575</v>
      </c>
      <c r="C26" s="101">
        <f t="shared" si="4"/>
        <v>0.01149425287</v>
      </c>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87" t="s">
        <v>279</v>
      </c>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row>
    <row r="27">
      <c r="A27" s="64" t="s">
        <v>314</v>
      </c>
      <c r="B27" s="106">
        <f t="shared" si="5"/>
        <v>0.2298850575</v>
      </c>
      <c r="C27" s="101">
        <f t="shared" si="4"/>
        <v>0.01149425287</v>
      </c>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87" t="s">
        <v>279</v>
      </c>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0"/>
      <c r="GM27" s="30"/>
      <c r="GN27" s="30"/>
      <c r="GO27" s="30"/>
      <c r="GP27" s="30"/>
      <c r="GQ27" s="30"/>
      <c r="GR27" s="30"/>
      <c r="GS27" s="30"/>
      <c r="GT27" s="30"/>
      <c r="GU27" s="30"/>
      <c r="GV27" s="30"/>
      <c r="GW27" s="30"/>
      <c r="GX27" s="30"/>
      <c r="GY27" s="30"/>
      <c r="GZ27" s="30"/>
      <c r="HA27" s="30"/>
      <c r="HB27" s="30"/>
      <c r="HC27" s="30"/>
      <c r="HD27" s="30"/>
      <c r="HE27" s="30"/>
    </row>
    <row r="28">
      <c r="A28" s="64" t="s">
        <v>315</v>
      </c>
      <c r="B28" s="106">
        <f t="shared" si="5"/>
        <v>0</v>
      </c>
      <c r="C28" s="101">
        <f t="shared" si="4"/>
        <v>0</v>
      </c>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c r="FV28" s="30"/>
      <c r="FW28" s="30"/>
      <c r="FX28" s="30"/>
      <c r="FY28" s="30"/>
      <c r="FZ28" s="30"/>
      <c r="GA28" s="30"/>
      <c r="GB28" s="30"/>
      <c r="GC28" s="30"/>
      <c r="GD28" s="30"/>
      <c r="GE28" s="30"/>
      <c r="GF28" s="30"/>
      <c r="GG28" s="30"/>
      <c r="GH28" s="30"/>
      <c r="GI28" s="30"/>
      <c r="GJ28" s="30"/>
      <c r="GK28" s="30"/>
      <c r="GL28" s="30"/>
      <c r="GM28" s="30"/>
      <c r="GN28" s="30"/>
      <c r="GO28" s="30"/>
      <c r="GP28" s="30"/>
      <c r="GQ28" s="30"/>
      <c r="GR28" s="30"/>
      <c r="GS28" s="30"/>
      <c r="GT28" s="30"/>
      <c r="GU28" s="30"/>
      <c r="GV28" s="30"/>
      <c r="GW28" s="30"/>
      <c r="GX28" s="30"/>
      <c r="GY28" s="30"/>
      <c r="GZ28" s="30"/>
      <c r="HA28" s="30"/>
      <c r="HB28" s="30"/>
      <c r="HC28" s="30"/>
      <c r="HD28" s="30"/>
      <c r="HE28" s="30"/>
    </row>
    <row r="29">
      <c r="A29" s="96"/>
      <c r="B29" s="96"/>
      <c r="C29" s="104"/>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c r="FH29" s="30"/>
      <c r="FI29" s="30"/>
      <c r="FJ29" s="30"/>
      <c r="FK29" s="30"/>
      <c r="FL29" s="30"/>
      <c r="FM29" s="30"/>
      <c r="FN29" s="30"/>
      <c r="FO29" s="30"/>
      <c r="FP29" s="30"/>
      <c r="FQ29" s="30"/>
      <c r="FR29" s="30"/>
      <c r="FS29" s="30"/>
      <c r="FT29" s="30"/>
      <c r="FU29" s="30"/>
      <c r="FV29" s="30"/>
      <c r="FW29" s="30"/>
      <c r="FX29" s="30"/>
      <c r="FY29" s="30"/>
      <c r="FZ29" s="30"/>
      <c r="GA29" s="30"/>
      <c r="GB29" s="30"/>
      <c r="GC29" s="30"/>
      <c r="GD29" s="30"/>
      <c r="GE29" s="30"/>
      <c r="GF29" s="30"/>
      <c r="GG29" s="30"/>
      <c r="GH29" s="30"/>
      <c r="GI29" s="30"/>
      <c r="GJ29" s="30"/>
      <c r="GK29" s="30"/>
      <c r="GL29" s="30"/>
      <c r="GM29" s="30"/>
      <c r="GN29" s="30"/>
      <c r="GO29" s="30"/>
      <c r="GP29" s="30"/>
      <c r="GQ29" s="30"/>
      <c r="GR29" s="30"/>
      <c r="GS29" s="30"/>
      <c r="GT29" s="30"/>
      <c r="GU29" s="30"/>
      <c r="GV29" s="30"/>
      <c r="GW29" s="30"/>
      <c r="GX29" s="30"/>
      <c r="GY29" s="30"/>
      <c r="GZ29" s="30"/>
      <c r="HA29" s="30"/>
      <c r="HB29" s="30"/>
      <c r="HC29" s="30"/>
      <c r="HD29" s="30"/>
      <c r="HE29" s="30"/>
    </row>
    <row r="30">
      <c r="A30" s="9"/>
      <c r="B30" s="107"/>
      <c r="C30" s="104"/>
      <c r="D30" s="108"/>
      <c r="E30" s="30"/>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108"/>
      <c r="CB30" s="108"/>
      <c r="CC30" s="108"/>
      <c r="CD30" s="108"/>
      <c r="CE30" s="108"/>
      <c r="CF30" s="108"/>
      <c r="CG30" s="108"/>
      <c r="CH30" s="108"/>
      <c r="CI30" s="108"/>
      <c r="CJ30" s="108"/>
      <c r="CK30" s="108"/>
      <c r="CL30" s="108"/>
      <c r="CM30" s="108"/>
      <c r="CN30" s="108"/>
      <c r="CO30" s="108"/>
      <c r="CP30" s="109"/>
      <c r="CQ30" s="108"/>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0"/>
      <c r="FG30" s="30"/>
      <c r="FH30" s="30"/>
      <c r="FI30" s="30"/>
      <c r="FJ30" s="30"/>
      <c r="FK30" s="30"/>
      <c r="FL30" s="30"/>
      <c r="FM30" s="30"/>
      <c r="FN30" s="30"/>
      <c r="FO30" s="30"/>
      <c r="FP30" s="30"/>
      <c r="FQ30" s="30"/>
      <c r="FR30" s="30"/>
      <c r="FS30" s="30"/>
      <c r="FT30" s="30"/>
      <c r="FU30" s="30"/>
      <c r="FV30" s="30"/>
      <c r="FW30" s="30"/>
      <c r="FX30" s="30"/>
      <c r="FY30" s="30"/>
      <c r="FZ30" s="30"/>
      <c r="GA30" s="30"/>
      <c r="GB30" s="30"/>
      <c r="GC30" s="30"/>
      <c r="GD30" s="30"/>
      <c r="GE30" s="30"/>
      <c r="GF30" s="30"/>
      <c r="GG30" s="30"/>
      <c r="GH30" s="30"/>
      <c r="GI30" s="30"/>
      <c r="GJ30" s="30"/>
      <c r="GK30" s="30"/>
      <c r="GL30" s="30"/>
      <c r="GM30" s="30"/>
      <c r="GN30" s="30"/>
      <c r="GO30" s="30"/>
      <c r="GP30" s="30"/>
      <c r="GQ30" s="30"/>
      <c r="GR30" s="30"/>
      <c r="GS30" s="30"/>
      <c r="GT30" s="30"/>
      <c r="GU30" s="30"/>
      <c r="GV30" s="30"/>
      <c r="GW30" s="30"/>
      <c r="GX30" s="30"/>
      <c r="GY30" s="30"/>
      <c r="GZ30" s="30"/>
      <c r="HA30" s="30"/>
      <c r="HB30" s="30"/>
      <c r="HC30" s="30"/>
      <c r="HD30" s="30"/>
      <c r="HE30" s="30"/>
    </row>
    <row r="31">
      <c r="A31" s="110" t="s">
        <v>316</v>
      </c>
      <c r="B31" s="106">
        <f t="shared" ref="B31:B46" si="6">C31/$C$9</f>
        <v>0.1149425287</v>
      </c>
      <c r="C31" s="111">
        <f t="shared" ref="C31:C44" si="7">SUM(D31:AFE31)</f>
        <v>10</v>
      </c>
      <c r="D31" s="87">
        <v>0.0</v>
      </c>
      <c r="E31" s="87">
        <v>0.0</v>
      </c>
      <c r="F31" s="87">
        <v>0.0</v>
      </c>
      <c r="G31" s="87">
        <v>0.0</v>
      </c>
      <c r="H31" s="87">
        <v>1.0</v>
      </c>
      <c r="I31" s="87">
        <v>0.0</v>
      </c>
      <c r="J31" s="87">
        <v>0.0</v>
      </c>
      <c r="K31" s="87">
        <v>0.0</v>
      </c>
      <c r="L31" s="87">
        <v>0.0</v>
      </c>
      <c r="M31" s="87">
        <v>0.0</v>
      </c>
      <c r="N31" s="87">
        <v>0.0</v>
      </c>
      <c r="O31" s="87">
        <v>0.0</v>
      </c>
      <c r="P31" s="87">
        <v>1.0</v>
      </c>
      <c r="Q31" s="87">
        <v>0.0</v>
      </c>
      <c r="R31" s="87">
        <v>0.0</v>
      </c>
      <c r="S31" s="87">
        <v>0.0</v>
      </c>
      <c r="T31" s="87">
        <v>0.0</v>
      </c>
      <c r="U31" s="87">
        <v>1.0</v>
      </c>
      <c r="V31" s="87">
        <v>0.0</v>
      </c>
      <c r="W31" s="87">
        <v>0.0</v>
      </c>
      <c r="X31" s="87">
        <v>0.0</v>
      </c>
      <c r="Y31" s="87">
        <v>0.0</v>
      </c>
      <c r="Z31" s="87">
        <v>0.0</v>
      </c>
      <c r="AA31" s="87">
        <v>0.0</v>
      </c>
      <c r="AB31" s="87">
        <v>0.0</v>
      </c>
      <c r="AC31" s="87">
        <v>0.0</v>
      </c>
      <c r="AD31" s="87">
        <v>0.0</v>
      </c>
      <c r="AE31" s="87">
        <v>0.0</v>
      </c>
      <c r="AF31" s="87">
        <v>0.0</v>
      </c>
      <c r="AG31" s="87">
        <v>0.0</v>
      </c>
      <c r="AH31" s="87">
        <v>0.0</v>
      </c>
      <c r="AI31" s="87">
        <v>0.0</v>
      </c>
      <c r="AJ31" s="87">
        <v>0.0</v>
      </c>
      <c r="AK31" s="87">
        <v>0.0</v>
      </c>
      <c r="AL31" s="87">
        <v>0.0</v>
      </c>
      <c r="AM31" s="87">
        <v>1.0</v>
      </c>
      <c r="AN31" s="87">
        <v>0.0</v>
      </c>
      <c r="AO31" s="87">
        <v>1.0</v>
      </c>
      <c r="AP31" s="87">
        <v>0.0</v>
      </c>
      <c r="AQ31" s="87">
        <v>0.0</v>
      </c>
      <c r="AR31" s="87">
        <v>0.0</v>
      </c>
      <c r="AS31" s="87">
        <v>0.0</v>
      </c>
      <c r="AT31" s="87">
        <v>0.0</v>
      </c>
      <c r="AU31" s="87">
        <v>1.0</v>
      </c>
      <c r="AV31" s="87">
        <v>0.0</v>
      </c>
      <c r="AW31" s="87">
        <v>0.0</v>
      </c>
      <c r="AX31" s="87">
        <v>0.0</v>
      </c>
      <c r="AY31" s="87">
        <v>0.0</v>
      </c>
      <c r="AZ31" s="30"/>
      <c r="BA31" s="87">
        <v>1.0</v>
      </c>
      <c r="BB31" s="87">
        <v>0.0</v>
      </c>
      <c r="BC31" s="87">
        <v>0.0</v>
      </c>
      <c r="BD31" s="87">
        <v>0.0</v>
      </c>
      <c r="BE31" s="30"/>
      <c r="BF31" s="87">
        <v>0.0</v>
      </c>
      <c r="BG31" s="87">
        <v>0.0</v>
      </c>
      <c r="BH31" s="87">
        <v>1.0</v>
      </c>
      <c r="BI31" s="87">
        <v>0.0</v>
      </c>
      <c r="BJ31" s="87">
        <v>0.0</v>
      </c>
      <c r="BK31" s="87">
        <v>0.0</v>
      </c>
      <c r="BL31" s="30"/>
      <c r="BM31" s="87">
        <v>0.0</v>
      </c>
      <c r="BN31" s="87">
        <v>0.0</v>
      </c>
      <c r="BO31" s="87">
        <v>0.0</v>
      </c>
      <c r="BP31" s="87">
        <v>0.0</v>
      </c>
      <c r="BQ31" s="87">
        <v>0.0</v>
      </c>
      <c r="BR31" s="87">
        <v>0.0</v>
      </c>
      <c r="BS31" s="87">
        <v>0.0</v>
      </c>
      <c r="BT31" s="30"/>
      <c r="BU31" s="87">
        <v>0.0</v>
      </c>
      <c r="BV31" s="87">
        <v>1.0</v>
      </c>
      <c r="BW31" s="87">
        <v>0.0</v>
      </c>
      <c r="BX31" s="87">
        <v>0.0</v>
      </c>
      <c r="BY31" s="87">
        <v>0.0</v>
      </c>
      <c r="BZ31" s="87">
        <v>0.0</v>
      </c>
      <c r="CA31" s="87">
        <v>0.0</v>
      </c>
      <c r="CB31" s="87">
        <v>0.0</v>
      </c>
      <c r="CC31" s="87">
        <v>0.0</v>
      </c>
      <c r="CD31" s="87">
        <v>0.0</v>
      </c>
      <c r="CE31" s="87">
        <v>0.0</v>
      </c>
      <c r="CF31" s="87">
        <v>0.0</v>
      </c>
      <c r="CG31" s="87">
        <v>0.0</v>
      </c>
      <c r="CH31" s="87">
        <v>0.0</v>
      </c>
      <c r="CI31" s="87">
        <v>0.0</v>
      </c>
      <c r="CJ31" s="87">
        <v>0.0</v>
      </c>
      <c r="CK31" s="87">
        <v>0.0</v>
      </c>
      <c r="CL31" s="87">
        <v>0.0</v>
      </c>
      <c r="CM31" s="87">
        <v>0.0</v>
      </c>
      <c r="CN31" s="87">
        <v>0.0</v>
      </c>
      <c r="CO31" s="87">
        <v>1.0</v>
      </c>
      <c r="CP31" s="112"/>
      <c r="CQ31" s="87">
        <v>0.0</v>
      </c>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87"/>
      <c r="EM31" s="87"/>
      <c r="EN31" s="87"/>
      <c r="EO31" s="87"/>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7"/>
      <c r="FN31" s="87"/>
      <c r="FO31" s="87"/>
      <c r="FP31" s="87"/>
      <c r="FQ31" s="87"/>
      <c r="FR31" s="87"/>
      <c r="FS31" s="87"/>
      <c r="FT31" s="87"/>
      <c r="FU31" s="87"/>
      <c r="FV31" s="87"/>
      <c r="FW31" s="87"/>
      <c r="FX31" s="87"/>
      <c r="FY31" s="87"/>
      <c r="FZ31" s="87"/>
      <c r="GA31" s="87"/>
      <c r="GB31" s="87"/>
      <c r="GC31" s="87"/>
      <c r="GD31" s="87"/>
      <c r="GE31" s="87"/>
      <c r="GF31" s="87"/>
      <c r="GG31" s="87"/>
      <c r="GH31" s="87"/>
      <c r="GI31" s="87"/>
      <c r="GJ31" s="87"/>
      <c r="GK31" s="87"/>
      <c r="GL31" s="87"/>
      <c r="GM31" s="87"/>
      <c r="GN31" s="87"/>
      <c r="GO31" s="87"/>
      <c r="GP31" s="87"/>
      <c r="GQ31" s="87"/>
      <c r="GR31" s="87"/>
      <c r="GS31" s="87"/>
      <c r="GT31" s="87"/>
      <c r="GU31" s="87"/>
      <c r="GV31" s="87"/>
      <c r="GW31" s="87"/>
      <c r="GX31" s="87"/>
      <c r="GY31" s="87"/>
      <c r="GZ31" s="87"/>
      <c r="HA31" s="87"/>
      <c r="HB31" s="87"/>
      <c r="HC31" s="87"/>
      <c r="HD31" s="87"/>
      <c r="HE31" s="87"/>
    </row>
    <row r="32">
      <c r="A32" s="113" t="s">
        <v>317</v>
      </c>
      <c r="B32" s="106">
        <f t="shared" si="6"/>
        <v>0.1034482759</v>
      </c>
      <c r="C32" s="111">
        <f t="shared" si="7"/>
        <v>9</v>
      </c>
      <c r="D32" s="87">
        <v>0.0</v>
      </c>
      <c r="E32" s="87">
        <v>0.0</v>
      </c>
      <c r="F32" s="87">
        <v>0.0</v>
      </c>
      <c r="G32" s="87">
        <v>0.0</v>
      </c>
      <c r="H32" s="87">
        <v>0.0</v>
      </c>
      <c r="I32" s="87">
        <v>0.0</v>
      </c>
      <c r="J32" s="87">
        <v>0.0</v>
      </c>
      <c r="K32" s="87">
        <v>0.0</v>
      </c>
      <c r="L32" s="87">
        <v>0.0</v>
      </c>
      <c r="M32" s="87">
        <v>0.0</v>
      </c>
      <c r="N32" s="87">
        <v>1.0</v>
      </c>
      <c r="O32" s="87">
        <v>0.0</v>
      </c>
      <c r="P32" s="87">
        <v>0.0</v>
      </c>
      <c r="Q32" s="87">
        <v>1.0</v>
      </c>
      <c r="R32" s="87">
        <v>0.0</v>
      </c>
      <c r="S32" s="87">
        <v>0.0</v>
      </c>
      <c r="T32" s="87">
        <v>0.0</v>
      </c>
      <c r="U32" s="87">
        <v>0.0</v>
      </c>
      <c r="V32" s="87">
        <v>0.0</v>
      </c>
      <c r="W32" s="87">
        <v>0.0</v>
      </c>
      <c r="X32" s="87">
        <v>0.0</v>
      </c>
      <c r="Y32" s="87">
        <v>0.0</v>
      </c>
      <c r="Z32" s="87">
        <v>0.0</v>
      </c>
      <c r="AA32" s="87">
        <v>0.0</v>
      </c>
      <c r="AB32" s="87">
        <v>0.0</v>
      </c>
      <c r="AC32" s="87">
        <v>0.0</v>
      </c>
      <c r="AD32" s="87">
        <v>0.0</v>
      </c>
      <c r="AE32" s="87">
        <v>0.0</v>
      </c>
      <c r="AF32" s="87">
        <v>0.0</v>
      </c>
      <c r="AG32" s="87">
        <v>0.0</v>
      </c>
      <c r="AH32" s="87">
        <v>0.0</v>
      </c>
      <c r="AI32" s="87">
        <v>0.0</v>
      </c>
      <c r="AJ32" s="87">
        <v>0.0</v>
      </c>
      <c r="AK32" s="87">
        <v>1.0</v>
      </c>
      <c r="AL32" s="87">
        <v>0.0</v>
      </c>
      <c r="AM32" s="87">
        <v>0.0</v>
      </c>
      <c r="AN32" s="87">
        <v>0.0</v>
      </c>
      <c r="AO32" s="87">
        <v>0.0</v>
      </c>
      <c r="AP32" s="87">
        <v>0.0</v>
      </c>
      <c r="AQ32" s="87">
        <v>1.0</v>
      </c>
      <c r="AR32" s="87">
        <v>0.0</v>
      </c>
      <c r="AS32" s="87">
        <v>0.0</v>
      </c>
      <c r="AT32" s="87">
        <v>0.0</v>
      </c>
      <c r="AU32" s="87">
        <v>0.0</v>
      </c>
      <c r="AV32" s="87">
        <v>0.0</v>
      </c>
      <c r="AW32" s="87">
        <v>0.0</v>
      </c>
      <c r="AX32" s="87">
        <v>0.0</v>
      </c>
      <c r="AY32" s="87">
        <v>0.0</v>
      </c>
      <c r="AZ32" s="30"/>
      <c r="BA32" s="87">
        <v>1.0</v>
      </c>
      <c r="BB32" s="87">
        <v>1.0</v>
      </c>
      <c r="BC32" s="87">
        <v>0.0</v>
      </c>
      <c r="BD32" s="87">
        <v>1.0</v>
      </c>
      <c r="BE32" s="30"/>
      <c r="BF32" s="87">
        <v>0.0</v>
      </c>
      <c r="BG32" s="87">
        <v>0.0</v>
      </c>
      <c r="BH32" s="87">
        <v>0.0</v>
      </c>
      <c r="BI32" s="87">
        <v>0.0</v>
      </c>
      <c r="BJ32" s="87">
        <v>0.0</v>
      </c>
      <c r="BK32" s="87">
        <v>0.0</v>
      </c>
      <c r="BL32" s="30"/>
      <c r="BM32" s="87">
        <v>0.0</v>
      </c>
      <c r="BN32" s="87">
        <v>2.0</v>
      </c>
      <c r="BO32" s="87">
        <v>0.0</v>
      </c>
      <c r="BP32" s="87">
        <v>0.0</v>
      </c>
      <c r="BQ32" s="87">
        <v>0.0</v>
      </c>
      <c r="BR32" s="87">
        <v>0.0</v>
      </c>
      <c r="BS32" s="87">
        <v>0.0</v>
      </c>
      <c r="BT32" s="30"/>
      <c r="BU32" s="87">
        <v>0.0</v>
      </c>
      <c r="BV32" s="87">
        <v>0.0</v>
      </c>
      <c r="BW32" s="87">
        <v>0.0</v>
      </c>
      <c r="BX32" s="87">
        <v>0.0</v>
      </c>
      <c r="BY32" s="87">
        <v>0.0</v>
      </c>
      <c r="BZ32" s="87">
        <v>0.0</v>
      </c>
      <c r="CA32" s="87">
        <v>0.0</v>
      </c>
      <c r="CB32" s="87">
        <v>0.0</v>
      </c>
      <c r="CC32" s="87">
        <v>0.0</v>
      </c>
      <c r="CD32" s="87">
        <v>0.0</v>
      </c>
      <c r="CE32" s="87">
        <v>0.0</v>
      </c>
      <c r="CF32" s="87">
        <v>0.0</v>
      </c>
      <c r="CG32" s="87">
        <v>0.0</v>
      </c>
      <c r="CH32" s="87">
        <v>0.0</v>
      </c>
      <c r="CI32" s="87">
        <v>0.0</v>
      </c>
      <c r="CJ32" s="87">
        <v>0.0</v>
      </c>
      <c r="CK32" s="87">
        <v>0.0</v>
      </c>
      <c r="CL32" s="87">
        <v>0.0</v>
      </c>
      <c r="CM32" s="87">
        <v>0.0</v>
      </c>
      <c r="CN32" s="87">
        <v>0.0</v>
      </c>
      <c r="CO32" s="87">
        <v>0.0</v>
      </c>
      <c r="CP32" s="112"/>
      <c r="CQ32" s="87">
        <v>0.0</v>
      </c>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87"/>
      <c r="EM32" s="87"/>
      <c r="EN32" s="87"/>
      <c r="EO32" s="87"/>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7"/>
      <c r="FN32" s="87"/>
      <c r="FO32" s="87"/>
      <c r="FP32" s="87"/>
      <c r="FQ32" s="87"/>
      <c r="FR32" s="87"/>
      <c r="FS32" s="87"/>
      <c r="FT32" s="87"/>
      <c r="FU32" s="87"/>
      <c r="FV32" s="87"/>
      <c r="FW32" s="87"/>
      <c r="FX32" s="87"/>
      <c r="FY32" s="87"/>
      <c r="FZ32" s="87"/>
      <c r="GA32" s="87"/>
      <c r="GB32" s="87"/>
      <c r="GC32" s="87"/>
      <c r="GD32" s="87"/>
      <c r="GE32" s="87"/>
      <c r="GF32" s="87"/>
      <c r="GG32" s="87"/>
      <c r="GH32" s="87"/>
      <c r="GI32" s="87"/>
      <c r="GJ32" s="87"/>
      <c r="GK32" s="87"/>
      <c r="GL32" s="87"/>
      <c r="GM32" s="87"/>
      <c r="GN32" s="87"/>
      <c r="GO32" s="87"/>
      <c r="GP32" s="87"/>
      <c r="GQ32" s="87"/>
      <c r="GR32" s="87"/>
      <c r="GS32" s="87"/>
      <c r="GT32" s="87"/>
      <c r="GU32" s="87"/>
      <c r="GV32" s="87"/>
      <c r="GW32" s="87"/>
      <c r="GX32" s="87"/>
      <c r="GY32" s="87"/>
      <c r="GZ32" s="87"/>
      <c r="HA32" s="87"/>
      <c r="HB32" s="87"/>
      <c r="HC32" s="87"/>
      <c r="HD32" s="87"/>
      <c r="HE32" s="87"/>
    </row>
    <row r="33">
      <c r="A33" s="9" t="s">
        <v>318</v>
      </c>
      <c r="B33" s="106">
        <f t="shared" si="6"/>
        <v>0.4597701149</v>
      </c>
      <c r="C33" s="111">
        <f t="shared" si="7"/>
        <v>40</v>
      </c>
      <c r="D33" s="87">
        <v>1.0</v>
      </c>
      <c r="E33" s="87">
        <v>0.0</v>
      </c>
      <c r="F33" s="87">
        <v>0.0</v>
      </c>
      <c r="G33" s="87">
        <v>2.0</v>
      </c>
      <c r="H33" s="87">
        <v>1.0</v>
      </c>
      <c r="I33" s="87">
        <v>0.0</v>
      </c>
      <c r="J33" s="87">
        <v>0.0</v>
      </c>
      <c r="K33" s="87">
        <v>0.0</v>
      </c>
      <c r="L33" s="87">
        <v>2.0</v>
      </c>
      <c r="M33" s="87">
        <v>2.0</v>
      </c>
      <c r="N33" s="87">
        <v>0.0</v>
      </c>
      <c r="O33" s="87">
        <v>0.0</v>
      </c>
      <c r="P33" s="87">
        <v>2.0</v>
      </c>
      <c r="Q33" s="87">
        <v>1.0</v>
      </c>
      <c r="R33" s="87">
        <v>0.0</v>
      </c>
      <c r="S33" s="87">
        <v>1.0</v>
      </c>
      <c r="T33" s="87">
        <v>1.0</v>
      </c>
      <c r="U33" s="87">
        <v>1.0</v>
      </c>
      <c r="V33" s="87">
        <v>0.0</v>
      </c>
      <c r="W33" s="87">
        <v>0.0</v>
      </c>
      <c r="X33" s="87">
        <v>1.0</v>
      </c>
      <c r="Y33" s="87">
        <v>1.0</v>
      </c>
      <c r="Z33" s="87">
        <v>0.0</v>
      </c>
      <c r="AA33" s="87">
        <v>0.0</v>
      </c>
      <c r="AB33" s="87">
        <v>0.0</v>
      </c>
      <c r="AC33" s="87">
        <v>0.0</v>
      </c>
      <c r="AD33" s="87">
        <v>2.0</v>
      </c>
      <c r="AE33" s="87">
        <v>1.0</v>
      </c>
      <c r="AF33" s="87">
        <v>0.0</v>
      </c>
      <c r="AG33" s="87">
        <v>1.0</v>
      </c>
      <c r="AH33" s="87">
        <v>2.0</v>
      </c>
      <c r="AI33" s="87">
        <v>0.0</v>
      </c>
      <c r="AJ33" s="87">
        <v>1.0</v>
      </c>
      <c r="AK33" s="87">
        <v>1.0</v>
      </c>
      <c r="AL33" s="87">
        <v>0.0</v>
      </c>
      <c r="AM33" s="87">
        <v>0.0</v>
      </c>
      <c r="AN33" s="87">
        <v>1.0</v>
      </c>
      <c r="AO33" s="87">
        <v>0.0</v>
      </c>
      <c r="AP33" s="87">
        <v>3.0</v>
      </c>
      <c r="AQ33" s="87">
        <v>0.0</v>
      </c>
      <c r="AR33" s="87">
        <v>0.0</v>
      </c>
      <c r="AS33" s="87">
        <v>2.0</v>
      </c>
      <c r="AT33" s="87">
        <v>1.0</v>
      </c>
      <c r="AU33" s="87">
        <v>0.0</v>
      </c>
      <c r="AV33" s="87">
        <v>0.0</v>
      </c>
      <c r="AW33" s="87">
        <v>1.0</v>
      </c>
      <c r="AX33" s="87">
        <v>0.0</v>
      </c>
      <c r="AY33" s="87">
        <v>1.0</v>
      </c>
      <c r="AZ33" s="30"/>
      <c r="BA33" s="87">
        <v>0.0</v>
      </c>
      <c r="BB33" s="87">
        <v>0.0</v>
      </c>
      <c r="BC33" s="87">
        <v>0.0</v>
      </c>
      <c r="BD33" s="87">
        <v>0.0</v>
      </c>
      <c r="BE33" s="30"/>
      <c r="BF33" s="87">
        <v>0.0</v>
      </c>
      <c r="BG33" s="87">
        <v>0.0</v>
      </c>
      <c r="BH33" s="87">
        <v>0.0</v>
      </c>
      <c r="BI33" s="87">
        <v>0.0</v>
      </c>
      <c r="BJ33" s="87">
        <v>0.0</v>
      </c>
      <c r="BK33" s="87">
        <v>0.0</v>
      </c>
      <c r="BL33" s="30"/>
      <c r="BM33" s="87">
        <v>1.0</v>
      </c>
      <c r="BN33" s="87">
        <v>0.0</v>
      </c>
      <c r="BO33" s="87">
        <v>0.0</v>
      </c>
      <c r="BP33" s="87">
        <v>1.0</v>
      </c>
      <c r="BQ33" s="87">
        <v>0.0</v>
      </c>
      <c r="BR33" s="87">
        <v>1.0</v>
      </c>
      <c r="BS33" s="87">
        <v>0.0</v>
      </c>
      <c r="BT33" s="30"/>
      <c r="BU33" s="87">
        <v>0.0</v>
      </c>
      <c r="BV33" s="87">
        <v>0.0</v>
      </c>
      <c r="BW33" s="87">
        <v>0.0</v>
      </c>
      <c r="BX33" s="87">
        <v>0.0</v>
      </c>
      <c r="BY33" s="87">
        <v>0.0</v>
      </c>
      <c r="BZ33" s="87">
        <v>0.0</v>
      </c>
      <c r="CA33" s="87">
        <v>2.0</v>
      </c>
      <c r="CB33" s="87">
        <v>0.0</v>
      </c>
      <c r="CC33" s="87">
        <v>0.0</v>
      </c>
      <c r="CD33" s="87">
        <v>0.0</v>
      </c>
      <c r="CE33" s="87">
        <v>0.0</v>
      </c>
      <c r="CF33" s="87">
        <v>0.0</v>
      </c>
      <c r="CG33" s="87">
        <v>0.0</v>
      </c>
      <c r="CH33" s="87">
        <v>0.0</v>
      </c>
      <c r="CI33" s="87">
        <v>0.0</v>
      </c>
      <c r="CJ33" s="87">
        <v>0.0</v>
      </c>
      <c r="CK33" s="87">
        <v>0.0</v>
      </c>
      <c r="CL33" s="87">
        <v>0.0</v>
      </c>
      <c r="CM33" s="87">
        <v>0.0</v>
      </c>
      <c r="CN33" s="87">
        <v>0.0</v>
      </c>
      <c r="CO33" s="87">
        <v>0.0</v>
      </c>
      <c r="CP33" s="112"/>
      <c r="CQ33" s="87">
        <v>2.0</v>
      </c>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87"/>
      <c r="EM33" s="87"/>
      <c r="EN33" s="87"/>
      <c r="EO33" s="87"/>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7"/>
      <c r="FN33" s="87"/>
      <c r="FO33" s="87"/>
      <c r="FP33" s="87"/>
      <c r="FQ33" s="87"/>
      <c r="FR33" s="87"/>
      <c r="FS33" s="87"/>
      <c r="FT33" s="87"/>
      <c r="FU33" s="87"/>
      <c r="FV33" s="87"/>
      <c r="FW33" s="87"/>
      <c r="FX33" s="87"/>
      <c r="FY33" s="87"/>
      <c r="FZ33" s="87"/>
      <c r="GA33" s="87"/>
      <c r="GB33" s="87"/>
      <c r="GC33" s="87"/>
      <c r="GD33" s="87"/>
      <c r="GE33" s="87"/>
      <c r="GF33" s="87"/>
      <c r="GG33" s="87"/>
      <c r="GH33" s="87"/>
      <c r="GI33" s="87"/>
      <c r="GJ33" s="87"/>
      <c r="GK33" s="87"/>
      <c r="GL33" s="87"/>
      <c r="GM33" s="87"/>
      <c r="GN33" s="87"/>
      <c r="GO33" s="87"/>
      <c r="GP33" s="87"/>
      <c r="GQ33" s="87"/>
      <c r="GR33" s="87"/>
      <c r="GS33" s="87"/>
      <c r="GT33" s="87"/>
      <c r="GU33" s="87"/>
      <c r="GV33" s="87"/>
      <c r="GW33" s="87"/>
      <c r="GX33" s="87"/>
      <c r="GY33" s="87"/>
      <c r="GZ33" s="87"/>
      <c r="HA33" s="87"/>
      <c r="HB33" s="87"/>
      <c r="HC33" s="87"/>
      <c r="HD33" s="87"/>
      <c r="HE33" s="87"/>
    </row>
    <row r="34">
      <c r="A34" s="9" t="s">
        <v>319</v>
      </c>
      <c r="B34" s="106">
        <f t="shared" si="6"/>
        <v>0.1379310345</v>
      </c>
      <c r="C34" s="111">
        <f t="shared" si="7"/>
        <v>12</v>
      </c>
      <c r="D34" s="112"/>
      <c r="E34" s="112"/>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30"/>
      <c r="BA34" s="87">
        <v>0.0</v>
      </c>
      <c r="BB34" s="87">
        <v>0.0</v>
      </c>
      <c r="BC34" s="87">
        <v>0.0</v>
      </c>
      <c r="BD34" s="87">
        <v>0.0</v>
      </c>
      <c r="BE34" s="30"/>
      <c r="BF34" s="87">
        <v>0.0</v>
      </c>
      <c r="BG34" s="87">
        <v>0.0</v>
      </c>
      <c r="BH34" s="87">
        <v>0.0</v>
      </c>
      <c r="BI34" s="87">
        <v>0.0</v>
      </c>
      <c r="BJ34" s="87">
        <v>1.0</v>
      </c>
      <c r="BK34" s="87">
        <v>0.0</v>
      </c>
      <c r="BL34" s="30"/>
      <c r="BM34" s="87">
        <v>0.0</v>
      </c>
      <c r="BN34" s="87">
        <v>0.0</v>
      </c>
      <c r="BO34" s="87">
        <v>0.0</v>
      </c>
      <c r="BP34" s="87">
        <v>0.0</v>
      </c>
      <c r="BQ34" s="87">
        <v>0.0</v>
      </c>
      <c r="BR34" s="87">
        <v>1.0</v>
      </c>
      <c r="BS34" s="87">
        <v>1.0</v>
      </c>
      <c r="BT34" s="30"/>
      <c r="BU34" s="87">
        <v>1.0</v>
      </c>
      <c r="BV34" s="87">
        <v>0.0</v>
      </c>
      <c r="BW34" s="87">
        <v>0.0</v>
      </c>
      <c r="BX34" s="87">
        <v>0.0</v>
      </c>
      <c r="BY34" s="87">
        <v>1.0</v>
      </c>
      <c r="BZ34" s="87">
        <v>1.0</v>
      </c>
      <c r="CA34" s="87">
        <v>0.0</v>
      </c>
      <c r="CB34" s="87">
        <v>1.0</v>
      </c>
      <c r="CC34" s="87">
        <v>0.0</v>
      </c>
      <c r="CD34" s="87">
        <v>0.0</v>
      </c>
      <c r="CE34" s="87">
        <v>0.0</v>
      </c>
      <c r="CF34" s="87">
        <v>1.0</v>
      </c>
      <c r="CG34" s="87">
        <v>0.0</v>
      </c>
      <c r="CH34" s="87">
        <v>0.0</v>
      </c>
      <c r="CI34" s="87">
        <v>0.0</v>
      </c>
      <c r="CJ34" s="87">
        <v>0.0</v>
      </c>
      <c r="CK34" s="87">
        <v>1.0</v>
      </c>
      <c r="CL34" s="87">
        <v>1.0</v>
      </c>
      <c r="CM34" s="87">
        <v>1.0</v>
      </c>
      <c r="CN34" s="87">
        <v>0.0</v>
      </c>
      <c r="CO34" s="87">
        <v>1.0</v>
      </c>
      <c r="CP34" s="112"/>
      <c r="CQ34" s="87">
        <v>0.0</v>
      </c>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87"/>
      <c r="EM34" s="87"/>
      <c r="EN34" s="87"/>
      <c r="EO34" s="87"/>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7"/>
      <c r="FN34" s="87"/>
      <c r="FO34" s="87"/>
      <c r="FP34" s="87"/>
      <c r="FQ34" s="87"/>
      <c r="FR34" s="87"/>
      <c r="FS34" s="87"/>
      <c r="FT34" s="87"/>
      <c r="FU34" s="87"/>
      <c r="FV34" s="87"/>
      <c r="FW34" s="87"/>
      <c r="FX34" s="87"/>
      <c r="FY34" s="87"/>
      <c r="FZ34" s="87"/>
      <c r="GA34" s="87"/>
      <c r="GB34" s="87"/>
      <c r="GC34" s="87"/>
      <c r="GD34" s="87"/>
      <c r="GE34" s="87"/>
      <c r="GF34" s="87"/>
      <c r="GG34" s="87"/>
      <c r="GH34" s="87"/>
      <c r="GI34" s="87"/>
      <c r="GJ34" s="87"/>
      <c r="GK34" s="87"/>
      <c r="GL34" s="87"/>
      <c r="GM34" s="87"/>
      <c r="GN34" s="87"/>
      <c r="GO34" s="87"/>
      <c r="GP34" s="87"/>
      <c r="GQ34" s="87"/>
      <c r="GR34" s="87"/>
      <c r="GS34" s="87"/>
      <c r="GT34" s="87"/>
      <c r="GU34" s="87"/>
      <c r="GV34" s="87"/>
      <c r="GW34" s="87"/>
      <c r="GX34" s="87"/>
      <c r="GY34" s="87"/>
      <c r="GZ34" s="87"/>
      <c r="HA34" s="87"/>
      <c r="HB34" s="87"/>
      <c r="HC34" s="87"/>
      <c r="HD34" s="87"/>
      <c r="HE34" s="87"/>
    </row>
    <row r="35">
      <c r="A35" s="9" t="s">
        <v>320</v>
      </c>
      <c r="B35" s="106">
        <f t="shared" si="6"/>
        <v>1.172413793</v>
      </c>
      <c r="C35" s="111">
        <f t="shared" si="7"/>
        <v>102</v>
      </c>
      <c r="D35" s="87">
        <v>0.0</v>
      </c>
      <c r="E35" s="87">
        <v>0.0</v>
      </c>
      <c r="F35" s="87">
        <v>0.0</v>
      </c>
      <c r="G35" s="87">
        <v>1.0</v>
      </c>
      <c r="H35" s="87">
        <v>1.0</v>
      </c>
      <c r="I35" s="87">
        <v>2.0</v>
      </c>
      <c r="J35" s="87">
        <v>1.0</v>
      </c>
      <c r="K35" s="87">
        <v>0.0</v>
      </c>
      <c r="L35" s="87">
        <v>1.0</v>
      </c>
      <c r="M35" s="87">
        <v>2.0</v>
      </c>
      <c r="N35" s="87">
        <v>1.0</v>
      </c>
      <c r="O35" s="87">
        <v>1.0</v>
      </c>
      <c r="P35" s="87">
        <v>0.0</v>
      </c>
      <c r="Q35" s="87">
        <v>1.0</v>
      </c>
      <c r="R35" s="87">
        <v>1.0</v>
      </c>
      <c r="S35" s="87">
        <v>0.0</v>
      </c>
      <c r="T35" s="87">
        <v>2.0</v>
      </c>
      <c r="U35" s="87">
        <v>2.0</v>
      </c>
      <c r="V35" s="87">
        <v>0.0</v>
      </c>
      <c r="W35" s="87">
        <v>1.0</v>
      </c>
      <c r="X35" s="87">
        <v>3.0</v>
      </c>
      <c r="Y35" s="87">
        <v>4.0</v>
      </c>
      <c r="Z35" s="87">
        <v>2.0</v>
      </c>
      <c r="AA35" s="87">
        <v>1.0</v>
      </c>
      <c r="AB35" s="87">
        <v>0.0</v>
      </c>
      <c r="AC35" s="87">
        <v>3.0</v>
      </c>
      <c r="AD35" s="87">
        <v>1.0</v>
      </c>
      <c r="AE35" s="87">
        <v>1.0</v>
      </c>
      <c r="AF35" s="87">
        <v>1.0</v>
      </c>
      <c r="AG35" s="87">
        <v>1.0</v>
      </c>
      <c r="AH35" s="87">
        <v>2.0</v>
      </c>
      <c r="AI35" s="87">
        <v>1.0</v>
      </c>
      <c r="AJ35" s="87">
        <v>1.0</v>
      </c>
      <c r="AK35" s="87">
        <v>1.0</v>
      </c>
      <c r="AL35" s="87">
        <v>0.0</v>
      </c>
      <c r="AM35" s="87">
        <v>0.0</v>
      </c>
      <c r="AN35" s="87">
        <v>1.0</v>
      </c>
      <c r="AO35" s="87">
        <v>0.0</v>
      </c>
      <c r="AP35" s="87">
        <v>3.0</v>
      </c>
      <c r="AQ35" s="87">
        <v>0.0</v>
      </c>
      <c r="AR35" s="87">
        <v>1.0</v>
      </c>
      <c r="AS35" s="87">
        <v>4.0</v>
      </c>
      <c r="AT35" s="87">
        <v>4.0</v>
      </c>
      <c r="AU35" s="87">
        <v>2.0</v>
      </c>
      <c r="AV35" s="87">
        <v>0.0</v>
      </c>
      <c r="AW35" s="87">
        <v>1.0</v>
      </c>
      <c r="AX35" s="87">
        <v>3.0</v>
      </c>
      <c r="AY35" s="87">
        <v>1.0</v>
      </c>
      <c r="AZ35" s="30"/>
      <c r="BA35" s="87">
        <v>0.0</v>
      </c>
      <c r="BB35" s="87">
        <v>1.0</v>
      </c>
      <c r="BC35" s="87">
        <v>1.0</v>
      </c>
      <c r="BD35" s="87">
        <v>4.0</v>
      </c>
      <c r="BE35" s="30"/>
      <c r="BF35" s="87">
        <v>1.0</v>
      </c>
      <c r="BG35" s="87">
        <v>1.0</v>
      </c>
      <c r="BH35" s="87">
        <v>0.0</v>
      </c>
      <c r="BI35" s="87">
        <v>1.0</v>
      </c>
      <c r="BJ35" s="87">
        <v>2.0</v>
      </c>
      <c r="BK35" s="87">
        <v>2.0</v>
      </c>
      <c r="BL35" s="30"/>
      <c r="BM35" s="87">
        <v>2.0</v>
      </c>
      <c r="BN35" s="87">
        <v>2.0</v>
      </c>
      <c r="BO35" s="87">
        <v>0.0</v>
      </c>
      <c r="BP35" s="87">
        <v>0.0</v>
      </c>
      <c r="BQ35" s="87">
        <v>1.0</v>
      </c>
      <c r="BR35" s="87">
        <v>3.0</v>
      </c>
      <c r="BS35" s="87">
        <v>1.0</v>
      </c>
      <c r="BT35" s="30"/>
      <c r="BU35" s="87">
        <v>1.0</v>
      </c>
      <c r="BV35" s="87">
        <v>0.0</v>
      </c>
      <c r="BW35" s="87">
        <v>2.0</v>
      </c>
      <c r="BX35" s="87">
        <v>3.0</v>
      </c>
      <c r="BY35" s="87">
        <v>0.0</v>
      </c>
      <c r="BZ35" s="87">
        <v>2.0</v>
      </c>
      <c r="CA35" s="87">
        <v>0.0</v>
      </c>
      <c r="CB35" s="87">
        <v>0.0</v>
      </c>
      <c r="CC35" s="87">
        <v>0.0</v>
      </c>
      <c r="CD35" s="87">
        <v>2.0</v>
      </c>
      <c r="CE35" s="87">
        <v>2.0</v>
      </c>
      <c r="CF35" s="87">
        <v>1.0</v>
      </c>
      <c r="CG35" s="87">
        <v>1.0</v>
      </c>
      <c r="CH35" s="87">
        <v>0.0</v>
      </c>
      <c r="CI35" s="87">
        <v>1.0</v>
      </c>
      <c r="CJ35" s="87">
        <v>1.0</v>
      </c>
      <c r="CK35" s="87">
        <v>2.0</v>
      </c>
      <c r="CL35" s="87">
        <v>1.0</v>
      </c>
      <c r="CM35" s="87">
        <v>0.0</v>
      </c>
      <c r="CN35" s="87">
        <v>1.0</v>
      </c>
      <c r="CO35" s="87">
        <v>0.0</v>
      </c>
      <c r="CP35" s="112"/>
      <c r="CQ35" s="87">
        <v>1.0</v>
      </c>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87"/>
      <c r="EM35" s="87"/>
      <c r="EN35" s="87"/>
      <c r="EO35" s="87"/>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7"/>
      <c r="FN35" s="87"/>
      <c r="FO35" s="87"/>
      <c r="FP35" s="87"/>
      <c r="FQ35" s="87"/>
      <c r="FR35" s="87"/>
      <c r="FS35" s="87"/>
      <c r="FT35" s="87"/>
      <c r="FU35" s="87"/>
      <c r="FV35" s="87"/>
      <c r="FW35" s="87"/>
      <c r="FX35" s="87"/>
      <c r="FY35" s="87"/>
      <c r="FZ35" s="87"/>
      <c r="GA35" s="87"/>
      <c r="GB35" s="87"/>
      <c r="GC35" s="87"/>
      <c r="GD35" s="87"/>
      <c r="GE35" s="87"/>
      <c r="GF35" s="87"/>
      <c r="GG35" s="87"/>
      <c r="GH35" s="87"/>
      <c r="GI35" s="87"/>
      <c r="GJ35" s="87"/>
      <c r="GK35" s="87"/>
      <c r="GL35" s="87"/>
      <c r="GM35" s="87"/>
      <c r="GN35" s="87"/>
      <c r="GO35" s="87"/>
      <c r="GP35" s="87"/>
      <c r="GQ35" s="87"/>
      <c r="GR35" s="87"/>
      <c r="GS35" s="87"/>
      <c r="GT35" s="87"/>
      <c r="GU35" s="87"/>
      <c r="GV35" s="87"/>
      <c r="GW35" s="87"/>
      <c r="GX35" s="87"/>
      <c r="GY35" s="87"/>
      <c r="GZ35" s="87"/>
      <c r="HA35" s="87"/>
      <c r="HB35" s="87"/>
      <c r="HC35" s="87"/>
      <c r="HD35" s="87"/>
      <c r="HE35" s="87"/>
    </row>
    <row r="36">
      <c r="A36" s="9" t="s">
        <v>321</v>
      </c>
      <c r="B36" s="106">
        <f t="shared" si="6"/>
        <v>1.482758621</v>
      </c>
      <c r="C36" s="111">
        <f t="shared" si="7"/>
        <v>129</v>
      </c>
      <c r="D36" s="87">
        <v>1.0</v>
      </c>
      <c r="E36" s="87">
        <v>1.0</v>
      </c>
      <c r="F36" s="87">
        <v>1.0</v>
      </c>
      <c r="G36" s="87">
        <v>0.0</v>
      </c>
      <c r="H36" s="87">
        <v>1.0</v>
      </c>
      <c r="I36" s="87">
        <v>3.0</v>
      </c>
      <c r="J36" s="87">
        <v>1.0</v>
      </c>
      <c r="K36" s="87">
        <v>0.0</v>
      </c>
      <c r="L36" s="87">
        <v>2.0</v>
      </c>
      <c r="M36" s="87">
        <v>2.0</v>
      </c>
      <c r="N36" s="87">
        <v>0.0</v>
      </c>
      <c r="O36" s="87">
        <v>1.0</v>
      </c>
      <c r="P36" s="87">
        <v>4.0</v>
      </c>
      <c r="Q36" s="87">
        <v>1.0</v>
      </c>
      <c r="R36" s="87">
        <v>2.0</v>
      </c>
      <c r="S36" s="87">
        <v>2.0</v>
      </c>
      <c r="T36" s="87">
        <v>1.0</v>
      </c>
      <c r="U36" s="87">
        <v>1.0</v>
      </c>
      <c r="V36" s="87">
        <v>2.0</v>
      </c>
      <c r="W36" s="87">
        <v>2.0</v>
      </c>
      <c r="X36" s="87">
        <v>1.0</v>
      </c>
      <c r="Y36" s="87">
        <v>4.0</v>
      </c>
      <c r="Z36" s="87">
        <v>2.0</v>
      </c>
      <c r="AA36" s="87">
        <v>1.0</v>
      </c>
      <c r="AB36" s="87">
        <v>2.0</v>
      </c>
      <c r="AC36" s="87">
        <v>1.0</v>
      </c>
      <c r="AD36" s="87">
        <v>0.0</v>
      </c>
      <c r="AE36" s="87">
        <v>1.0</v>
      </c>
      <c r="AF36" s="87">
        <v>4.0</v>
      </c>
      <c r="AG36" s="87">
        <v>1.0</v>
      </c>
      <c r="AH36" s="87">
        <v>0.0</v>
      </c>
      <c r="AI36" s="87">
        <v>5.0</v>
      </c>
      <c r="AJ36" s="87">
        <v>2.0</v>
      </c>
      <c r="AK36" s="87">
        <v>0.0</v>
      </c>
      <c r="AL36" s="87">
        <v>0.0</v>
      </c>
      <c r="AM36" s="87">
        <v>0.0</v>
      </c>
      <c r="AN36" s="87">
        <v>0.0</v>
      </c>
      <c r="AO36" s="87">
        <v>0.0</v>
      </c>
      <c r="AP36" s="87">
        <v>2.0</v>
      </c>
      <c r="AQ36" s="87">
        <v>2.0</v>
      </c>
      <c r="AR36" s="87">
        <v>3.0</v>
      </c>
      <c r="AS36" s="87">
        <v>5.0</v>
      </c>
      <c r="AT36" s="87">
        <v>1.0</v>
      </c>
      <c r="AU36" s="87">
        <v>1.0</v>
      </c>
      <c r="AV36" s="87">
        <v>2.0</v>
      </c>
      <c r="AW36" s="87">
        <v>4.0</v>
      </c>
      <c r="AX36" s="87">
        <v>2.0</v>
      </c>
      <c r="AY36" s="87">
        <v>1.0</v>
      </c>
      <c r="AZ36" s="30"/>
      <c r="BA36" s="87">
        <v>2.0</v>
      </c>
      <c r="BB36" s="87">
        <v>0.0</v>
      </c>
      <c r="BC36" s="87">
        <v>1.0</v>
      </c>
      <c r="BD36" s="87">
        <v>0.0</v>
      </c>
      <c r="BE36" s="30"/>
      <c r="BF36" s="87">
        <v>0.0</v>
      </c>
      <c r="BG36" s="87">
        <v>1.0</v>
      </c>
      <c r="BH36" s="87">
        <v>2.0</v>
      </c>
      <c r="BI36" s="87">
        <v>3.0</v>
      </c>
      <c r="BJ36" s="87">
        <v>2.0</v>
      </c>
      <c r="BK36" s="87">
        <v>2.0</v>
      </c>
      <c r="BL36" s="30"/>
      <c r="BM36" s="87">
        <v>2.0</v>
      </c>
      <c r="BN36" s="87">
        <v>0.0</v>
      </c>
      <c r="BO36" s="87">
        <v>1.0</v>
      </c>
      <c r="BP36" s="87">
        <v>4.0</v>
      </c>
      <c r="BQ36" s="87">
        <v>1.0</v>
      </c>
      <c r="BR36" s="87">
        <v>0.0</v>
      </c>
      <c r="BS36" s="87">
        <v>2.0</v>
      </c>
      <c r="BT36" s="30"/>
      <c r="BU36" s="87">
        <v>1.0</v>
      </c>
      <c r="BV36" s="87">
        <v>1.0</v>
      </c>
      <c r="BW36" s="87">
        <v>0.0</v>
      </c>
      <c r="BX36" s="87">
        <v>2.0</v>
      </c>
      <c r="BY36" s="87">
        <v>3.0</v>
      </c>
      <c r="BZ36" s="87">
        <v>2.0</v>
      </c>
      <c r="CA36" s="87">
        <v>2.0</v>
      </c>
      <c r="CB36" s="87">
        <v>0.0</v>
      </c>
      <c r="CC36" s="87">
        <v>3.0</v>
      </c>
      <c r="CD36" s="87">
        <v>1.0</v>
      </c>
      <c r="CE36" s="87">
        <v>1.0</v>
      </c>
      <c r="CF36" s="87">
        <v>0.0</v>
      </c>
      <c r="CG36" s="87">
        <v>2.0</v>
      </c>
      <c r="CH36" s="87">
        <v>0.0</v>
      </c>
      <c r="CI36" s="87">
        <v>1.0</v>
      </c>
      <c r="CJ36" s="87">
        <v>1.0</v>
      </c>
      <c r="CK36" s="87">
        <v>1.0</v>
      </c>
      <c r="CL36" s="87">
        <v>0.0</v>
      </c>
      <c r="CM36" s="87">
        <v>1.0</v>
      </c>
      <c r="CN36" s="87">
        <v>2.0</v>
      </c>
      <c r="CO36" s="87">
        <v>4.0</v>
      </c>
      <c r="CP36" s="112"/>
      <c r="CQ36" s="87">
        <v>3.0</v>
      </c>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87"/>
      <c r="EM36" s="87"/>
      <c r="EN36" s="87"/>
      <c r="EO36" s="87"/>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7"/>
      <c r="FN36" s="87"/>
      <c r="FO36" s="87"/>
      <c r="FP36" s="87"/>
      <c r="FQ36" s="87"/>
      <c r="FR36" s="87"/>
      <c r="FS36" s="87"/>
      <c r="FT36" s="87"/>
      <c r="FU36" s="87"/>
      <c r="FV36" s="87"/>
      <c r="FW36" s="87"/>
      <c r="FX36" s="87"/>
      <c r="FY36" s="87"/>
      <c r="FZ36" s="87"/>
      <c r="GA36" s="87"/>
      <c r="GB36" s="87"/>
      <c r="GC36" s="87"/>
      <c r="GD36" s="87"/>
      <c r="GE36" s="87"/>
      <c r="GF36" s="87"/>
      <c r="GG36" s="87"/>
      <c r="GH36" s="87"/>
      <c r="GI36" s="87"/>
      <c r="GJ36" s="87"/>
      <c r="GK36" s="87"/>
      <c r="GL36" s="87"/>
      <c r="GM36" s="87"/>
      <c r="GN36" s="87"/>
      <c r="GO36" s="87"/>
      <c r="GP36" s="87"/>
      <c r="GQ36" s="87"/>
      <c r="GR36" s="87"/>
      <c r="GS36" s="87"/>
      <c r="GT36" s="87"/>
      <c r="GU36" s="87"/>
      <c r="GV36" s="87"/>
      <c r="GW36" s="87"/>
      <c r="GX36" s="87"/>
      <c r="GY36" s="87"/>
      <c r="GZ36" s="87"/>
      <c r="HA36" s="87"/>
      <c r="HB36" s="87"/>
      <c r="HC36" s="87"/>
      <c r="HD36" s="87"/>
      <c r="HE36" s="87"/>
    </row>
    <row r="37">
      <c r="A37" s="9" t="s">
        <v>322</v>
      </c>
      <c r="B37" s="106">
        <f t="shared" si="6"/>
        <v>2.735632184</v>
      </c>
      <c r="C37" s="111">
        <f t="shared" si="7"/>
        <v>238</v>
      </c>
      <c r="D37" s="87">
        <v>1.0</v>
      </c>
      <c r="E37" s="87">
        <v>3.0</v>
      </c>
      <c r="F37" s="87">
        <v>3.0</v>
      </c>
      <c r="G37" s="87">
        <v>3.0</v>
      </c>
      <c r="H37" s="87">
        <v>3.0</v>
      </c>
      <c r="I37" s="87">
        <v>4.0</v>
      </c>
      <c r="J37" s="87">
        <v>9.0</v>
      </c>
      <c r="K37" s="87">
        <v>3.0</v>
      </c>
      <c r="L37" s="87">
        <v>3.0</v>
      </c>
      <c r="M37" s="87">
        <v>2.0</v>
      </c>
      <c r="N37" s="87">
        <v>4.0</v>
      </c>
      <c r="O37" s="87">
        <v>2.0</v>
      </c>
      <c r="P37" s="87">
        <v>3.0</v>
      </c>
      <c r="Q37" s="87">
        <v>2.0</v>
      </c>
      <c r="R37" s="87">
        <v>3.0</v>
      </c>
      <c r="S37" s="87">
        <v>2.0</v>
      </c>
      <c r="T37" s="87">
        <v>1.0</v>
      </c>
      <c r="U37" s="87">
        <v>4.0</v>
      </c>
      <c r="V37" s="87">
        <v>2.0</v>
      </c>
      <c r="W37" s="87">
        <v>4.0</v>
      </c>
      <c r="X37" s="87">
        <v>1.0</v>
      </c>
      <c r="Y37" s="87">
        <v>5.0</v>
      </c>
      <c r="Z37" s="87">
        <v>4.0</v>
      </c>
      <c r="AA37" s="87">
        <v>1.0</v>
      </c>
      <c r="AB37" s="87">
        <v>4.0</v>
      </c>
      <c r="AC37" s="87">
        <v>3.0</v>
      </c>
      <c r="AD37" s="87">
        <v>3.0</v>
      </c>
      <c r="AE37" s="87">
        <v>2.0</v>
      </c>
      <c r="AF37" s="87">
        <v>4.0</v>
      </c>
      <c r="AG37" s="87">
        <v>4.0</v>
      </c>
      <c r="AH37" s="87">
        <v>1.0</v>
      </c>
      <c r="AI37" s="87">
        <v>1.0</v>
      </c>
      <c r="AJ37" s="87">
        <v>1.0</v>
      </c>
      <c r="AK37" s="87">
        <v>4.0</v>
      </c>
      <c r="AL37" s="87">
        <v>8.0</v>
      </c>
      <c r="AM37" s="87">
        <v>2.0</v>
      </c>
      <c r="AN37" s="87">
        <v>0.0</v>
      </c>
      <c r="AO37" s="87">
        <v>1.0</v>
      </c>
      <c r="AP37" s="87">
        <v>3.0</v>
      </c>
      <c r="AQ37" s="87">
        <v>4.0</v>
      </c>
      <c r="AR37" s="87">
        <v>3.0</v>
      </c>
      <c r="AS37" s="87">
        <v>4.0</v>
      </c>
      <c r="AT37" s="87">
        <v>0.0</v>
      </c>
      <c r="AU37" s="87">
        <v>6.0</v>
      </c>
      <c r="AV37" s="87">
        <v>0.0</v>
      </c>
      <c r="AW37" s="87">
        <v>0.0</v>
      </c>
      <c r="AX37" s="87">
        <v>5.0</v>
      </c>
      <c r="AY37" s="87">
        <v>2.0</v>
      </c>
      <c r="AZ37" s="30"/>
      <c r="BA37" s="87">
        <v>2.0</v>
      </c>
      <c r="BB37" s="87">
        <v>4.0</v>
      </c>
      <c r="BC37" s="87">
        <v>2.0</v>
      </c>
      <c r="BD37" s="87">
        <v>1.0</v>
      </c>
      <c r="BE37" s="30"/>
      <c r="BF37" s="87">
        <v>1.0</v>
      </c>
      <c r="BG37" s="87">
        <v>2.0</v>
      </c>
      <c r="BH37" s="87">
        <v>2.0</v>
      </c>
      <c r="BI37" s="87">
        <v>2.0</v>
      </c>
      <c r="BJ37" s="87">
        <v>3.0</v>
      </c>
      <c r="BK37" s="87">
        <v>5.0</v>
      </c>
      <c r="BL37" s="30"/>
      <c r="BM37" s="87">
        <v>0.0</v>
      </c>
      <c r="BN37" s="87">
        <v>1.0</v>
      </c>
      <c r="BO37" s="87">
        <v>2.0</v>
      </c>
      <c r="BP37" s="87">
        <v>3.0</v>
      </c>
      <c r="BQ37" s="87">
        <v>5.0</v>
      </c>
      <c r="BR37" s="87">
        <v>3.0</v>
      </c>
      <c r="BS37" s="87">
        <v>4.0</v>
      </c>
      <c r="BT37" s="30"/>
      <c r="BU37" s="87">
        <v>5.0</v>
      </c>
      <c r="BV37" s="87">
        <v>1.0</v>
      </c>
      <c r="BW37" s="87">
        <v>3.0</v>
      </c>
      <c r="BX37" s="87">
        <v>4.0</v>
      </c>
      <c r="BY37" s="87">
        <v>1.0</v>
      </c>
      <c r="BZ37" s="87">
        <v>1.0</v>
      </c>
      <c r="CA37" s="87">
        <v>5.0</v>
      </c>
      <c r="CB37" s="87">
        <v>2.0</v>
      </c>
      <c r="CC37" s="87">
        <v>1.0</v>
      </c>
      <c r="CD37" s="87">
        <v>3.0</v>
      </c>
      <c r="CE37" s="87">
        <v>0.0</v>
      </c>
      <c r="CF37" s="87">
        <v>2.0</v>
      </c>
      <c r="CG37" s="87">
        <v>6.0</v>
      </c>
      <c r="CH37" s="87">
        <v>2.0</v>
      </c>
      <c r="CI37" s="87">
        <v>4.0</v>
      </c>
      <c r="CJ37" s="87">
        <v>3.0</v>
      </c>
      <c r="CK37" s="87">
        <v>3.0</v>
      </c>
      <c r="CL37" s="87">
        <v>3.0</v>
      </c>
      <c r="CM37" s="87">
        <v>2.0</v>
      </c>
      <c r="CN37" s="87">
        <v>2.0</v>
      </c>
      <c r="CO37" s="87">
        <v>4.0</v>
      </c>
      <c r="CP37" s="112"/>
      <c r="CQ37" s="87">
        <v>2.0</v>
      </c>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87"/>
      <c r="EM37" s="87"/>
      <c r="EN37" s="87"/>
      <c r="EO37" s="87"/>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7"/>
      <c r="FN37" s="87"/>
      <c r="FO37" s="87"/>
      <c r="FP37" s="87"/>
      <c r="FQ37" s="87"/>
      <c r="FR37" s="87"/>
      <c r="FS37" s="87"/>
      <c r="FT37" s="87"/>
      <c r="FU37" s="87"/>
      <c r="FV37" s="87"/>
      <c r="FW37" s="87"/>
      <c r="FX37" s="87"/>
      <c r="FY37" s="87"/>
      <c r="FZ37" s="87"/>
      <c r="GA37" s="87"/>
      <c r="GB37" s="87"/>
      <c r="GC37" s="87"/>
      <c r="GD37" s="87"/>
      <c r="GE37" s="87"/>
      <c r="GF37" s="87"/>
      <c r="GG37" s="87"/>
      <c r="GH37" s="87"/>
      <c r="GI37" s="87"/>
      <c r="GJ37" s="87"/>
      <c r="GK37" s="87"/>
      <c r="GL37" s="87"/>
      <c r="GM37" s="87"/>
      <c r="GN37" s="87"/>
      <c r="GO37" s="87"/>
      <c r="GP37" s="87"/>
      <c r="GQ37" s="87"/>
      <c r="GR37" s="87"/>
      <c r="GS37" s="87"/>
      <c r="GT37" s="87"/>
      <c r="GU37" s="87"/>
      <c r="GV37" s="87"/>
      <c r="GW37" s="87"/>
      <c r="GX37" s="87"/>
      <c r="GY37" s="87"/>
      <c r="GZ37" s="87"/>
      <c r="HA37" s="87"/>
      <c r="HB37" s="87"/>
      <c r="HC37" s="87"/>
      <c r="HD37" s="87"/>
      <c r="HE37" s="87"/>
    </row>
    <row r="38">
      <c r="A38" s="110" t="s">
        <v>323</v>
      </c>
      <c r="B38" s="106">
        <f t="shared" si="6"/>
        <v>0.4137931034</v>
      </c>
      <c r="C38" s="111">
        <f t="shared" si="7"/>
        <v>36</v>
      </c>
      <c r="D38" s="87">
        <v>4.0</v>
      </c>
      <c r="E38" s="87">
        <v>0.0</v>
      </c>
      <c r="F38" s="87">
        <v>1.0</v>
      </c>
      <c r="G38" s="87">
        <v>0.0</v>
      </c>
      <c r="H38" s="87">
        <v>0.0</v>
      </c>
      <c r="I38" s="87">
        <v>0.0</v>
      </c>
      <c r="J38" s="87">
        <v>1.0</v>
      </c>
      <c r="K38" s="87">
        <v>0.0</v>
      </c>
      <c r="L38" s="87">
        <v>0.0</v>
      </c>
      <c r="M38" s="87">
        <v>0.0</v>
      </c>
      <c r="N38" s="87">
        <v>0.0</v>
      </c>
      <c r="O38" s="87">
        <v>2.0</v>
      </c>
      <c r="P38" s="87">
        <v>0.0</v>
      </c>
      <c r="Q38" s="87">
        <v>0.0</v>
      </c>
      <c r="R38" s="87">
        <v>0.0</v>
      </c>
      <c r="S38" s="87">
        <v>0.0</v>
      </c>
      <c r="T38" s="87">
        <v>0.0</v>
      </c>
      <c r="U38" s="87">
        <v>0.0</v>
      </c>
      <c r="V38" s="87">
        <v>0.0</v>
      </c>
      <c r="W38" s="87">
        <v>0.0</v>
      </c>
      <c r="X38" s="87">
        <v>1.0</v>
      </c>
      <c r="Y38" s="87">
        <v>2.0</v>
      </c>
      <c r="Z38" s="87">
        <v>2.0</v>
      </c>
      <c r="AA38" s="87">
        <v>1.0</v>
      </c>
      <c r="AB38" s="87">
        <v>0.0</v>
      </c>
      <c r="AC38" s="87">
        <v>0.0</v>
      </c>
      <c r="AD38" s="87">
        <v>0.0</v>
      </c>
      <c r="AE38" s="87">
        <v>1.0</v>
      </c>
      <c r="AF38" s="87">
        <v>0.0</v>
      </c>
      <c r="AG38" s="87">
        <v>0.0</v>
      </c>
      <c r="AH38" s="87">
        <v>0.0</v>
      </c>
      <c r="AI38" s="87">
        <v>0.0</v>
      </c>
      <c r="AJ38" s="87">
        <v>0.0</v>
      </c>
      <c r="AK38" s="87">
        <v>0.0</v>
      </c>
      <c r="AL38" s="87">
        <v>0.0</v>
      </c>
      <c r="AM38" s="87">
        <v>0.0</v>
      </c>
      <c r="AN38" s="87">
        <v>0.0</v>
      </c>
      <c r="AO38" s="87">
        <v>2.0</v>
      </c>
      <c r="AP38" s="87">
        <v>0.0</v>
      </c>
      <c r="AQ38" s="87">
        <v>0.0</v>
      </c>
      <c r="AR38" s="87">
        <v>0.0</v>
      </c>
      <c r="AS38" s="87">
        <v>0.0</v>
      </c>
      <c r="AT38" s="87">
        <v>1.0</v>
      </c>
      <c r="AU38" s="87">
        <v>0.0</v>
      </c>
      <c r="AV38" s="87">
        <v>0.0</v>
      </c>
      <c r="AW38" s="87">
        <v>0.0</v>
      </c>
      <c r="AX38" s="87">
        <v>1.0</v>
      </c>
      <c r="AY38" s="87">
        <v>1.0</v>
      </c>
      <c r="AZ38" s="30"/>
      <c r="BA38" s="87">
        <v>2.0</v>
      </c>
      <c r="BB38" s="87">
        <v>0.0</v>
      </c>
      <c r="BC38" s="87">
        <v>1.0</v>
      </c>
      <c r="BD38" s="87">
        <v>0.0</v>
      </c>
      <c r="BE38" s="30"/>
      <c r="BF38" s="87">
        <v>1.0</v>
      </c>
      <c r="BG38" s="87">
        <v>0.0</v>
      </c>
      <c r="BH38" s="87">
        <v>0.0</v>
      </c>
      <c r="BI38" s="87">
        <v>1.0</v>
      </c>
      <c r="BJ38" s="87">
        <v>1.0</v>
      </c>
      <c r="BK38" s="87">
        <v>0.0</v>
      </c>
      <c r="BL38" s="30"/>
      <c r="BM38" s="87">
        <v>0.0</v>
      </c>
      <c r="BN38" s="87">
        <v>0.0</v>
      </c>
      <c r="BO38" s="87">
        <v>0.0</v>
      </c>
      <c r="BP38" s="87">
        <v>1.0</v>
      </c>
      <c r="BQ38" s="87">
        <v>0.0</v>
      </c>
      <c r="BR38" s="87">
        <v>0.0</v>
      </c>
      <c r="BS38" s="87">
        <v>1.0</v>
      </c>
      <c r="BT38" s="30"/>
      <c r="BU38" s="87">
        <v>0.0</v>
      </c>
      <c r="BV38" s="87">
        <v>0.0</v>
      </c>
      <c r="BW38" s="87">
        <v>0.0</v>
      </c>
      <c r="BX38" s="87">
        <v>0.0</v>
      </c>
      <c r="BY38" s="87">
        <v>0.0</v>
      </c>
      <c r="BZ38" s="87">
        <v>3.0</v>
      </c>
      <c r="CA38" s="87">
        <v>0.0</v>
      </c>
      <c r="CB38" s="87">
        <v>0.0</v>
      </c>
      <c r="CC38" s="87">
        <v>0.0</v>
      </c>
      <c r="CD38" s="87">
        <v>1.0</v>
      </c>
      <c r="CE38" s="87">
        <v>0.0</v>
      </c>
      <c r="CF38" s="87">
        <v>0.0</v>
      </c>
      <c r="CG38" s="87">
        <v>0.0</v>
      </c>
      <c r="CH38" s="87">
        <v>1.0</v>
      </c>
      <c r="CI38" s="87">
        <v>0.0</v>
      </c>
      <c r="CJ38" s="87">
        <v>1.0</v>
      </c>
      <c r="CK38" s="87">
        <v>1.0</v>
      </c>
      <c r="CL38" s="87">
        <v>0.0</v>
      </c>
      <c r="CM38" s="87">
        <v>0.0</v>
      </c>
      <c r="CN38" s="87">
        <v>0.0</v>
      </c>
      <c r="CO38" s="87">
        <v>1.0</v>
      </c>
      <c r="CP38" s="112"/>
      <c r="CQ38" s="87">
        <v>0.0</v>
      </c>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87"/>
      <c r="EM38" s="87"/>
      <c r="EN38" s="87"/>
      <c r="EO38" s="87"/>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7"/>
      <c r="FN38" s="87"/>
      <c r="FO38" s="87"/>
      <c r="FP38" s="87"/>
      <c r="FQ38" s="87"/>
      <c r="FR38" s="87"/>
      <c r="FS38" s="87"/>
      <c r="FT38" s="87"/>
      <c r="FU38" s="87"/>
      <c r="FV38" s="87"/>
      <c r="FW38" s="87"/>
      <c r="FX38" s="87"/>
      <c r="FY38" s="87"/>
      <c r="FZ38" s="87"/>
      <c r="GA38" s="87"/>
      <c r="GB38" s="87"/>
      <c r="GC38" s="87"/>
      <c r="GD38" s="87"/>
      <c r="GE38" s="87"/>
      <c r="GF38" s="87"/>
      <c r="GG38" s="87"/>
      <c r="GH38" s="87"/>
      <c r="GI38" s="87"/>
      <c r="GJ38" s="87"/>
      <c r="GK38" s="87"/>
      <c r="GL38" s="87"/>
      <c r="GM38" s="87"/>
      <c r="GN38" s="87"/>
      <c r="GO38" s="87"/>
      <c r="GP38" s="87"/>
      <c r="GQ38" s="87"/>
      <c r="GR38" s="87"/>
      <c r="GS38" s="87"/>
      <c r="GT38" s="87"/>
      <c r="GU38" s="87"/>
      <c r="GV38" s="87"/>
      <c r="GW38" s="87"/>
      <c r="GX38" s="87"/>
      <c r="GY38" s="87"/>
      <c r="GZ38" s="87"/>
      <c r="HA38" s="87"/>
      <c r="HB38" s="87"/>
      <c r="HC38" s="87"/>
      <c r="HD38" s="87"/>
      <c r="HE38" s="87"/>
    </row>
    <row r="39">
      <c r="A39" s="9" t="s">
        <v>324</v>
      </c>
      <c r="B39" s="106">
        <f t="shared" si="6"/>
        <v>0.724137931</v>
      </c>
      <c r="C39" s="111">
        <f t="shared" si="7"/>
        <v>63</v>
      </c>
      <c r="D39" s="87">
        <v>1.0</v>
      </c>
      <c r="E39" s="87">
        <v>0.0</v>
      </c>
      <c r="F39" s="87">
        <v>0.0</v>
      </c>
      <c r="G39" s="87">
        <v>0.0</v>
      </c>
      <c r="H39" s="87">
        <v>1.0</v>
      </c>
      <c r="I39" s="87">
        <v>3.0</v>
      </c>
      <c r="J39" s="87">
        <v>0.0</v>
      </c>
      <c r="K39" s="87">
        <v>0.0</v>
      </c>
      <c r="L39" s="87">
        <v>1.0</v>
      </c>
      <c r="M39" s="87">
        <v>1.0</v>
      </c>
      <c r="N39" s="87">
        <v>0.0</v>
      </c>
      <c r="O39" s="87">
        <v>0.0</v>
      </c>
      <c r="P39" s="87">
        <v>1.0</v>
      </c>
      <c r="Q39" s="87">
        <v>1.0</v>
      </c>
      <c r="R39" s="87">
        <v>0.0</v>
      </c>
      <c r="S39" s="87">
        <v>1.0</v>
      </c>
      <c r="T39" s="87">
        <v>1.0</v>
      </c>
      <c r="U39" s="87">
        <v>2.0</v>
      </c>
      <c r="V39" s="87">
        <v>0.0</v>
      </c>
      <c r="W39" s="87">
        <v>0.0</v>
      </c>
      <c r="X39" s="87">
        <v>4.0</v>
      </c>
      <c r="Y39" s="87">
        <v>1.0</v>
      </c>
      <c r="Z39" s="87">
        <v>0.0</v>
      </c>
      <c r="AA39" s="87">
        <v>1.0</v>
      </c>
      <c r="AB39" s="87">
        <v>1.0</v>
      </c>
      <c r="AC39" s="87">
        <v>0.0</v>
      </c>
      <c r="AD39" s="87">
        <v>0.0</v>
      </c>
      <c r="AE39" s="87">
        <v>1.0</v>
      </c>
      <c r="AF39" s="87">
        <v>2.0</v>
      </c>
      <c r="AG39" s="87">
        <v>0.0</v>
      </c>
      <c r="AH39" s="87">
        <v>3.0</v>
      </c>
      <c r="AI39" s="87">
        <v>1.0</v>
      </c>
      <c r="AJ39" s="87">
        <v>2.0</v>
      </c>
      <c r="AK39" s="87">
        <v>1.0</v>
      </c>
      <c r="AL39" s="87">
        <v>2.0</v>
      </c>
      <c r="AM39" s="87">
        <v>1.0</v>
      </c>
      <c r="AN39" s="87">
        <v>0.0</v>
      </c>
      <c r="AO39" s="87">
        <v>2.0</v>
      </c>
      <c r="AP39" s="87">
        <v>1.0</v>
      </c>
      <c r="AQ39" s="87">
        <v>1.0</v>
      </c>
      <c r="AR39" s="87">
        <v>0.0</v>
      </c>
      <c r="AS39" s="87">
        <v>0.0</v>
      </c>
      <c r="AT39" s="87">
        <v>1.0</v>
      </c>
      <c r="AU39" s="87">
        <v>0.0</v>
      </c>
      <c r="AV39" s="87">
        <v>0.0</v>
      </c>
      <c r="AW39" s="87">
        <v>1.0</v>
      </c>
      <c r="AX39" s="87">
        <v>0.0</v>
      </c>
      <c r="AY39" s="87">
        <v>0.0</v>
      </c>
      <c r="AZ39" s="30"/>
      <c r="BA39" s="87">
        <v>0.0</v>
      </c>
      <c r="BB39" s="87">
        <v>1.0</v>
      </c>
      <c r="BC39" s="87">
        <v>1.0</v>
      </c>
      <c r="BD39" s="87">
        <v>0.0</v>
      </c>
      <c r="BE39" s="30"/>
      <c r="BF39" s="87">
        <v>1.0</v>
      </c>
      <c r="BG39" s="87">
        <v>2.0</v>
      </c>
      <c r="BH39" s="87">
        <v>0.0</v>
      </c>
      <c r="BI39" s="87">
        <v>1.0</v>
      </c>
      <c r="BJ39" s="87">
        <v>0.0</v>
      </c>
      <c r="BK39" s="87">
        <v>0.0</v>
      </c>
      <c r="BL39" s="30"/>
      <c r="BM39" s="87">
        <v>1.0</v>
      </c>
      <c r="BN39" s="87">
        <v>0.0</v>
      </c>
      <c r="BO39" s="87">
        <v>0.0</v>
      </c>
      <c r="BP39" s="87">
        <v>1.0</v>
      </c>
      <c r="BQ39" s="87">
        <v>0.0</v>
      </c>
      <c r="BR39" s="87">
        <v>2.0</v>
      </c>
      <c r="BS39" s="87">
        <v>0.0</v>
      </c>
      <c r="BT39" s="30"/>
      <c r="BU39" s="87">
        <v>2.0</v>
      </c>
      <c r="BV39" s="87">
        <v>0.0</v>
      </c>
      <c r="BW39" s="87">
        <v>3.0</v>
      </c>
      <c r="BX39" s="87">
        <v>1.0</v>
      </c>
      <c r="BY39" s="87">
        <v>0.0</v>
      </c>
      <c r="BZ39" s="87">
        <v>1.0</v>
      </c>
      <c r="CA39" s="87">
        <v>0.0</v>
      </c>
      <c r="CB39" s="87">
        <v>2.0</v>
      </c>
      <c r="CC39" s="87">
        <v>0.0</v>
      </c>
      <c r="CD39" s="87">
        <v>0.0</v>
      </c>
      <c r="CE39" s="87">
        <v>1.0</v>
      </c>
      <c r="CF39" s="87">
        <v>0.0</v>
      </c>
      <c r="CG39" s="87">
        <v>0.0</v>
      </c>
      <c r="CH39" s="87">
        <v>0.0</v>
      </c>
      <c r="CI39" s="87">
        <v>1.0</v>
      </c>
      <c r="CJ39" s="87">
        <v>0.0</v>
      </c>
      <c r="CK39" s="87">
        <v>0.0</v>
      </c>
      <c r="CL39" s="87">
        <v>0.0</v>
      </c>
      <c r="CM39" s="87">
        <v>0.0</v>
      </c>
      <c r="CN39" s="87">
        <v>1.0</v>
      </c>
      <c r="CO39" s="87">
        <v>1.0</v>
      </c>
      <c r="CP39" s="112"/>
      <c r="CQ39" s="87">
        <v>1.0</v>
      </c>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87"/>
      <c r="EM39" s="87"/>
      <c r="EN39" s="87"/>
      <c r="EO39" s="87"/>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7"/>
      <c r="FN39" s="87"/>
      <c r="FO39" s="87"/>
      <c r="FP39" s="87"/>
      <c r="FQ39" s="87"/>
      <c r="FR39" s="87"/>
      <c r="FS39" s="87"/>
      <c r="FT39" s="87"/>
      <c r="FU39" s="87"/>
      <c r="FV39" s="87"/>
      <c r="FW39" s="87"/>
      <c r="FX39" s="87"/>
      <c r="FY39" s="87"/>
      <c r="FZ39" s="87"/>
      <c r="GA39" s="87"/>
      <c r="GB39" s="87"/>
      <c r="GC39" s="87"/>
      <c r="GD39" s="87"/>
      <c r="GE39" s="87"/>
      <c r="GF39" s="87"/>
      <c r="GG39" s="87"/>
      <c r="GH39" s="87"/>
      <c r="GI39" s="87"/>
      <c r="GJ39" s="87"/>
      <c r="GK39" s="87"/>
      <c r="GL39" s="87"/>
      <c r="GM39" s="87"/>
      <c r="GN39" s="87"/>
      <c r="GO39" s="87"/>
      <c r="GP39" s="87"/>
      <c r="GQ39" s="87"/>
      <c r="GR39" s="87"/>
      <c r="GS39" s="87"/>
      <c r="GT39" s="87"/>
      <c r="GU39" s="87"/>
      <c r="GV39" s="87"/>
      <c r="GW39" s="87"/>
      <c r="GX39" s="87"/>
      <c r="GY39" s="87"/>
      <c r="GZ39" s="87"/>
      <c r="HA39" s="87"/>
      <c r="HB39" s="87"/>
      <c r="HC39" s="87"/>
      <c r="HD39" s="87"/>
      <c r="HE39" s="87"/>
    </row>
    <row r="40">
      <c r="A40" s="9" t="s">
        <v>325</v>
      </c>
      <c r="B40" s="106">
        <f t="shared" si="6"/>
        <v>1.103448276</v>
      </c>
      <c r="C40" s="111">
        <f t="shared" si="7"/>
        <v>96</v>
      </c>
      <c r="D40" s="87">
        <v>3.0</v>
      </c>
      <c r="E40" s="87">
        <v>2.0</v>
      </c>
      <c r="F40" s="87">
        <v>2.0</v>
      </c>
      <c r="G40" s="87">
        <v>1.0</v>
      </c>
      <c r="H40" s="87">
        <v>2.0</v>
      </c>
      <c r="I40" s="87">
        <v>0.0</v>
      </c>
      <c r="J40" s="87">
        <v>3.0</v>
      </c>
      <c r="K40" s="87">
        <v>1.0</v>
      </c>
      <c r="L40" s="87">
        <v>0.0</v>
      </c>
      <c r="M40" s="87">
        <v>0.0</v>
      </c>
      <c r="N40" s="87">
        <v>0.0</v>
      </c>
      <c r="O40" s="87">
        <v>3.0</v>
      </c>
      <c r="P40" s="87">
        <v>0.0</v>
      </c>
      <c r="Q40" s="87">
        <v>1.0</v>
      </c>
      <c r="R40" s="87">
        <v>0.0</v>
      </c>
      <c r="S40" s="87">
        <v>2.0</v>
      </c>
      <c r="T40" s="87">
        <v>1.0</v>
      </c>
      <c r="U40" s="87">
        <v>1.0</v>
      </c>
      <c r="V40" s="87">
        <v>1.0</v>
      </c>
      <c r="W40" s="87">
        <v>0.0</v>
      </c>
      <c r="X40" s="87">
        <v>0.0</v>
      </c>
      <c r="Y40" s="87">
        <v>2.0</v>
      </c>
      <c r="Z40" s="87">
        <v>1.0</v>
      </c>
      <c r="AA40" s="87">
        <v>3.0</v>
      </c>
      <c r="AB40" s="87">
        <v>0.0</v>
      </c>
      <c r="AC40" s="87">
        <v>1.0</v>
      </c>
      <c r="AD40" s="87">
        <v>3.0</v>
      </c>
      <c r="AE40" s="87">
        <v>0.0</v>
      </c>
      <c r="AF40" s="87">
        <v>1.0</v>
      </c>
      <c r="AG40" s="87">
        <v>0.0</v>
      </c>
      <c r="AH40" s="87">
        <v>1.0</v>
      </c>
      <c r="AI40" s="87">
        <v>1.0</v>
      </c>
      <c r="AJ40" s="87">
        <v>0.0</v>
      </c>
      <c r="AK40" s="87">
        <v>0.0</v>
      </c>
      <c r="AL40" s="87">
        <v>0.0</v>
      </c>
      <c r="AM40" s="87">
        <v>2.0</v>
      </c>
      <c r="AN40" s="87">
        <v>2.0</v>
      </c>
      <c r="AO40" s="87">
        <v>1.0</v>
      </c>
      <c r="AP40" s="87">
        <v>1.0</v>
      </c>
      <c r="AQ40" s="87">
        <v>0.0</v>
      </c>
      <c r="AR40" s="87">
        <v>5.0</v>
      </c>
      <c r="AS40" s="87">
        <v>0.0</v>
      </c>
      <c r="AT40" s="87">
        <v>0.0</v>
      </c>
      <c r="AU40" s="87">
        <v>1.0</v>
      </c>
      <c r="AV40" s="87">
        <v>0.0</v>
      </c>
      <c r="AW40" s="87">
        <v>0.0</v>
      </c>
      <c r="AX40" s="87">
        <v>0.0</v>
      </c>
      <c r="AY40" s="87">
        <v>1.0</v>
      </c>
      <c r="AZ40" s="30"/>
      <c r="BA40" s="87">
        <v>1.0</v>
      </c>
      <c r="BB40" s="87">
        <v>2.0</v>
      </c>
      <c r="BC40" s="87">
        <v>1.0</v>
      </c>
      <c r="BD40" s="87">
        <v>0.0</v>
      </c>
      <c r="BE40" s="30"/>
      <c r="BF40" s="87">
        <v>4.0</v>
      </c>
      <c r="BG40" s="87">
        <v>1.0</v>
      </c>
      <c r="BH40" s="87">
        <v>1.0</v>
      </c>
      <c r="BI40" s="87">
        <v>1.0</v>
      </c>
      <c r="BJ40" s="87">
        <v>2.0</v>
      </c>
      <c r="BK40" s="87">
        <v>2.0</v>
      </c>
      <c r="BL40" s="30"/>
      <c r="BM40" s="87">
        <v>0.0</v>
      </c>
      <c r="BN40" s="87">
        <v>0.0</v>
      </c>
      <c r="BO40" s="87">
        <v>0.0</v>
      </c>
      <c r="BP40" s="87">
        <v>1.0</v>
      </c>
      <c r="BQ40" s="87">
        <v>4.0</v>
      </c>
      <c r="BR40" s="87">
        <v>3.0</v>
      </c>
      <c r="BS40" s="87">
        <v>0.0</v>
      </c>
      <c r="BT40" s="30"/>
      <c r="BU40" s="87">
        <v>2.0</v>
      </c>
      <c r="BV40" s="87">
        <v>1.0</v>
      </c>
      <c r="BW40" s="87">
        <v>1.0</v>
      </c>
      <c r="BX40" s="87">
        <v>0.0</v>
      </c>
      <c r="BY40" s="87">
        <v>1.0</v>
      </c>
      <c r="BZ40" s="87">
        <v>0.0</v>
      </c>
      <c r="CA40" s="87">
        <v>3.0</v>
      </c>
      <c r="CB40" s="87">
        <v>1.0</v>
      </c>
      <c r="CC40" s="87">
        <v>1.0</v>
      </c>
      <c r="CD40" s="87">
        <v>1.0</v>
      </c>
      <c r="CE40" s="87">
        <v>2.0</v>
      </c>
      <c r="CF40" s="87">
        <v>1.0</v>
      </c>
      <c r="CG40" s="87">
        <v>3.0</v>
      </c>
      <c r="CH40" s="87">
        <v>0.0</v>
      </c>
      <c r="CI40" s="87">
        <v>0.0</v>
      </c>
      <c r="CJ40" s="87">
        <v>2.0</v>
      </c>
      <c r="CK40" s="87">
        <v>0.0</v>
      </c>
      <c r="CL40" s="87">
        <v>1.0</v>
      </c>
      <c r="CM40" s="87">
        <v>0.0</v>
      </c>
      <c r="CN40" s="87">
        <v>2.0</v>
      </c>
      <c r="CO40" s="87">
        <v>1.0</v>
      </c>
      <c r="CP40" s="112"/>
      <c r="CQ40" s="87">
        <v>1.0</v>
      </c>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87"/>
      <c r="EM40" s="87"/>
      <c r="EN40" s="87"/>
      <c r="EO40" s="87"/>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7"/>
      <c r="FN40" s="87"/>
      <c r="FO40" s="87"/>
      <c r="FP40" s="87"/>
      <c r="FQ40" s="87"/>
      <c r="FR40" s="87"/>
      <c r="FS40" s="87"/>
      <c r="FT40" s="87"/>
      <c r="FU40" s="87"/>
      <c r="FV40" s="87"/>
      <c r="FW40" s="87"/>
      <c r="FX40" s="87"/>
      <c r="FY40" s="87"/>
      <c r="FZ40" s="87"/>
      <c r="GA40" s="87"/>
      <c r="GB40" s="87"/>
      <c r="GC40" s="87"/>
      <c r="GD40" s="87"/>
      <c r="GE40" s="87"/>
      <c r="GF40" s="87"/>
      <c r="GG40" s="87"/>
      <c r="GH40" s="87"/>
      <c r="GI40" s="87"/>
      <c r="GJ40" s="87"/>
      <c r="GK40" s="87"/>
      <c r="GL40" s="87"/>
      <c r="GM40" s="87"/>
      <c r="GN40" s="87"/>
      <c r="GO40" s="87"/>
      <c r="GP40" s="87"/>
      <c r="GQ40" s="87"/>
      <c r="GR40" s="87"/>
      <c r="GS40" s="87"/>
      <c r="GT40" s="87"/>
      <c r="GU40" s="87"/>
      <c r="GV40" s="87"/>
      <c r="GW40" s="87"/>
      <c r="GX40" s="87"/>
      <c r="GY40" s="87"/>
      <c r="GZ40" s="87"/>
      <c r="HA40" s="87"/>
      <c r="HB40" s="87"/>
      <c r="HC40" s="87"/>
      <c r="HD40" s="87"/>
      <c r="HE40" s="87"/>
    </row>
    <row r="41">
      <c r="A41" s="9" t="s">
        <v>326</v>
      </c>
      <c r="B41" s="106">
        <f t="shared" si="6"/>
        <v>1.816091954</v>
      </c>
      <c r="C41" s="111">
        <f t="shared" si="7"/>
        <v>158</v>
      </c>
      <c r="D41" s="87">
        <v>0.0</v>
      </c>
      <c r="E41" s="87">
        <v>1.0</v>
      </c>
      <c r="F41" s="87">
        <v>3.0</v>
      </c>
      <c r="G41" s="87">
        <v>1.0</v>
      </c>
      <c r="H41" s="87">
        <v>1.0</v>
      </c>
      <c r="I41" s="87">
        <v>2.0</v>
      </c>
      <c r="J41" s="87">
        <v>0.0</v>
      </c>
      <c r="K41" s="87">
        <v>1.0</v>
      </c>
      <c r="L41" s="87">
        <v>1.0</v>
      </c>
      <c r="M41" s="87">
        <v>1.0</v>
      </c>
      <c r="N41" s="87">
        <v>6.0</v>
      </c>
      <c r="O41" s="87">
        <v>2.0</v>
      </c>
      <c r="P41" s="87">
        <v>2.0</v>
      </c>
      <c r="Q41" s="87">
        <v>1.0</v>
      </c>
      <c r="R41" s="87">
        <v>2.0</v>
      </c>
      <c r="S41" s="87">
        <v>2.0</v>
      </c>
      <c r="T41" s="87">
        <v>2.0</v>
      </c>
      <c r="U41" s="87">
        <v>2.0</v>
      </c>
      <c r="V41" s="87">
        <v>2.0</v>
      </c>
      <c r="W41" s="87">
        <v>2.0</v>
      </c>
      <c r="X41" s="87">
        <v>1.0</v>
      </c>
      <c r="Y41" s="87">
        <v>0.0</v>
      </c>
      <c r="Z41" s="87">
        <v>1.0</v>
      </c>
      <c r="AA41" s="87">
        <v>3.0</v>
      </c>
      <c r="AB41" s="87">
        <v>5.0</v>
      </c>
      <c r="AC41" s="87">
        <v>1.0</v>
      </c>
      <c r="AD41" s="87">
        <v>2.0</v>
      </c>
      <c r="AE41" s="87">
        <v>2.0</v>
      </c>
      <c r="AF41" s="87">
        <v>0.0</v>
      </c>
      <c r="AG41" s="87">
        <v>0.0</v>
      </c>
      <c r="AH41" s="87">
        <v>2.0</v>
      </c>
      <c r="AI41" s="87">
        <v>2.0</v>
      </c>
      <c r="AJ41" s="87">
        <v>1.0</v>
      </c>
      <c r="AK41" s="87">
        <v>5.0</v>
      </c>
      <c r="AL41" s="87">
        <v>2.0</v>
      </c>
      <c r="AM41" s="87">
        <v>2.0</v>
      </c>
      <c r="AN41" s="87">
        <v>1.0</v>
      </c>
      <c r="AO41" s="87">
        <v>4.0</v>
      </c>
      <c r="AP41" s="87">
        <v>2.0</v>
      </c>
      <c r="AQ41" s="87">
        <v>3.0</v>
      </c>
      <c r="AR41" s="87">
        <v>0.0</v>
      </c>
      <c r="AS41" s="87">
        <v>2.0</v>
      </c>
      <c r="AT41" s="87">
        <v>2.0</v>
      </c>
      <c r="AU41" s="87">
        <v>2.0</v>
      </c>
      <c r="AV41" s="87">
        <v>4.0</v>
      </c>
      <c r="AW41" s="87">
        <v>1.0</v>
      </c>
      <c r="AX41" s="87">
        <v>3.0</v>
      </c>
      <c r="AY41" s="87">
        <v>3.0</v>
      </c>
      <c r="AZ41" s="30"/>
      <c r="BA41" s="87">
        <v>3.0</v>
      </c>
      <c r="BB41" s="87">
        <v>0.0</v>
      </c>
      <c r="BC41" s="87">
        <v>2.0</v>
      </c>
      <c r="BD41" s="87">
        <v>1.0</v>
      </c>
      <c r="BE41" s="30"/>
      <c r="BF41" s="87">
        <v>0.0</v>
      </c>
      <c r="BG41" s="87">
        <v>4.0</v>
      </c>
      <c r="BH41" s="87">
        <v>3.0</v>
      </c>
      <c r="BI41" s="87">
        <v>0.0</v>
      </c>
      <c r="BJ41" s="87">
        <v>2.0</v>
      </c>
      <c r="BK41" s="87">
        <v>3.0</v>
      </c>
      <c r="BL41" s="30"/>
      <c r="BM41" s="87">
        <v>2.0</v>
      </c>
      <c r="BN41" s="87">
        <v>2.0</v>
      </c>
      <c r="BO41" s="87">
        <v>2.0</v>
      </c>
      <c r="BP41" s="87">
        <v>2.0</v>
      </c>
      <c r="BQ41" s="87">
        <v>4.0</v>
      </c>
      <c r="BR41" s="87">
        <v>1.0</v>
      </c>
      <c r="BS41" s="87">
        <v>3.0</v>
      </c>
      <c r="BT41" s="30"/>
      <c r="BU41" s="87">
        <v>4.0</v>
      </c>
      <c r="BV41" s="87">
        <v>3.0</v>
      </c>
      <c r="BW41" s="87">
        <v>3.0</v>
      </c>
      <c r="BX41" s="87">
        <v>0.0</v>
      </c>
      <c r="BY41" s="87">
        <v>1.0</v>
      </c>
      <c r="BZ41" s="87">
        <v>2.0</v>
      </c>
      <c r="CA41" s="87">
        <v>0.0</v>
      </c>
      <c r="CB41" s="87">
        <v>1.0</v>
      </c>
      <c r="CC41" s="87">
        <v>2.0</v>
      </c>
      <c r="CD41" s="87">
        <v>3.0</v>
      </c>
      <c r="CE41" s="87">
        <v>0.0</v>
      </c>
      <c r="CF41" s="87">
        <v>2.0</v>
      </c>
      <c r="CG41" s="87">
        <v>0.0</v>
      </c>
      <c r="CH41" s="87">
        <v>0.0</v>
      </c>
      <c r="CI41" s="87">
        <v>5.0</v>
      </c>
      <c r="CJ41" s="87">
        <v>0.0</v>
      </c>
      <c r="CK41" s="87">
        <v>2.0</v>
      </c>
      <c r="CL41" s="87">
        <v>1.0</v>
      </c>
      <c r="CM41" s="87">
        <v>0.0</v>
      </c>
      <c r="CN41" s="87">
        <v>2.0</v>
      </c>
      <c r="CO41" s="87">
        <v>2.0</v>
      </c>
      <c r="CP41" s="112"/>
      <c r="CQ41" s="87">
        <v>1.0</v>
      </c>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87"/>
      <c r="EM41" s="87"/>
      <c r="EN41" s="87"/>
      <c r="EO41" s="87"/>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7"/>
      <c r="FN41" s="87"/>
      <c r="FO41" s="87"/>
      <c r="FP41" s="87"/>
      <c r="FQ41" s="87"/>
      <c r="FR41" s="87"/>
      <c r="FS41" s="87"/>
      <c r="FT41" s="87"/>
      <c r="FU41" s="87"/>
      <c r="FV41" s="87"/>
      <c r="FW41" s="87"/>
      <c r="FX41" s="87"/>
      <c r="FY41" s="87"/>
      <c r="FZ41" s="87"/>
      <c r="GA41" s="87"/>
      <c r="GB41" s="87"/>
      <c r="GC41" s="87"/>
      <c r="GD41" s="87"/>
      <c r="GE41" s="87"/>
      <c r="GF41" s="87"/>
      <c r="GG41" s="87"/>
      <c r="GH41" s="87"/>
      <c r="GI41" s="87"/>
      <c r="GJ41" s="87"/>
      <c r="GK41" s="87"/>
      <c r="GL41" s="87"/>
      <c r="GM41" s="87"/>
      <c r="GN41" s="87"/>
      <c r="GO41" s="87"/>
      <c r="GP41" s="87"/>
      <c r="GQ41" s="87"/>
      <c r="GR41" s="87"/>
      <c r="GS41" s="87"/>
      <c r="GT41" s="87"/>
      <c r="GU41" s="87"/>
      <c r="GV41" s="87"/>
      <c r="GW41" s="87"/>
      <c r="GX41" s="87"/>
      <c r="GY41" s="87"/>
      <c r="GZ41" s="87"/>
      <c r="HA41" s="87"/>
      <c r="HB41" s="87"/>
      <c r="HC41" s="87"/>
      <c r="HD41" s="87"/>
      <c r="HE41" s="87"/>
    </row>
    <row r="42">
      <c r="A42" s="9" t="s">
        <v>327</v>
      </c>
      <c r="B42" s="106">
        <f t="shared" si="6"/>
        <v>3.356321839</v>
      </c>
      <c r="C42" s="111">
        <f t="shared" si="7"/>
        <v>292</v>
      </c>
      <c r="D42" s="87">
        <v>7.0</v>
      </c>
      <c r="E42" s="87">
        <v>2.0</v>
      </c>
      <c r="F42" s="87">
        <v>6.0</v>
      </c>
      <c r="G42" s="87">
        <v>1.0</v>
      </c>
      <c r="H42" s="87">
        <v>2.0</v>
      </c>
      <c r="I42" s="87">
        <v>2.0</v>
      </c>
      <c r="J42" s="87">
        <v>3.0</v>
      </c>
      <c r="K42" s="87">
        <v>7.0</v>
      </c>
      <c r="L42" s="87">
        <v>2.0</v>
      </c>
      <c r="M42" s="87">
        <v>5.0</v>
      </c>
      <c r="N42" s="87">
        <v>2.0</v>
      </c>
      <c r="O42" s="87">
        <v>3.0</v>
      </c>
      <c r="P42" s="87">
        <v>1.0</v>
      </c>
      <c r="Q42" s="87">
        <v>5.0</v>
      </c>
      <c r="R42" s="87">
        <v>5.0</v>
      </c>
      <c r="S42" s="87">
        <v>6.0</v>
      </c>
      <c r="T42" s="87">
        <v>2.0</v>
      </c>
      <c r="U42" s="87">
        <v>3.0</v>
      </c>
      <c r="V42" s="87">
        <v>5.0</v>
      </c>
      <c r="W42" s="87">
        <v>3.0</v>
      </c>
      <c r="X42" s="87">
        <v>5.0</v>
      </c>
      <c r="Y42" s="87">
        <v>2.0</v>
      </c>
      <c r="Z42" s="87">
        <v>2.0</v>
      </c>
      <c r="AA42" s="87">
        <v>5.0</v>
      </c>
      <c r="AB42" s="87">
        <v>4.0</v>
      </c>
      <c r="AC42" s="87">
        <v>2.0</v>
      </c>
      <c r="AD42" s="87">
        <v>7.0</v>
      </c>
      <c r="AE42" s="87">
        <v>3.0</v>
      </c>
      <c r="AF42" s="87">
        <v>4.0</v>
      </c>
      <c r="AG42" s="87">
        <v>4.0</v>
      </c>
      <c r="AH42" s="87">
        <v>7.0</v>
      </c>
      <c r="AI42" s="87">
        <v>4.0</v>
      </c>
      <c r="AJ42" s="87">
        <v>4.0</v>
      </c>
      <c r="AK42" s="87">
        <v>4.0</v>
      </c>
      <c r="AL42" s="87">
        <v>4.0</v>
      </c>
      <c r="AM42" s="87">
        <v>2.0</v>
      </c>
      <c r="AN42" s="87">
        <v>8.0</v>
      </c>
      <c r="AO42" s="87">
        <v>3.0</v>
      </c>
      <c r="AP42" s="87">
        <v>2.0</v>
      </c>
      <c r="AQ42" s="87">
        <v>1.0</v>
      </c>
      <c r="AR42" s="87">
        <v>7.0</v>
      </c>
      <c r="AS42" s="87">
        <v>1.0</v>
      </c>
      <c r="AT42" s="87">
        <v>1.0</v>
      </c>
      <c r="AU42" s="87">
        <v>0.0</v>
      </c>
      <c r="AV42" s="87">
        <v>2.0</v>
      </c>
      <c r="AW42" s="87">
        <v>4.0</v>
      </c>
      <c r="AX42" s="87">
        <v>1.0</v>
      </c>
      <c r="AY42" s="87">
        <v>1.0</v>
      </c>
      <c r="AZ42" s="30"/>
      <c r="BA42" s="87">
        <v>1.0</v>
      </c>
      <c r="BB42" s="87">
        <v>10.0</v>
      </c>
      <c r="BC42" s="87">
        <v>5.0</v>
      </c>
      <c r="BD42" s="87">
        <v>6.0</v>
      </c>
      <c r="BE42" s="30"/>
      <c r="BF42" s="87">
        <v>3.0</v>
      </c>
      <c r="BG42" s="87">
        <v>2.0</v>
      </c>
      <c r="BH42" s="87">
        <v>1.0</v>
      </c>
      <c r="BI42" s="87">
        <v>4.0</v>
      </c>
      <c r="BJ42" s="87">
        <v>1.0</v>
      </c>
      <c r="BK42" s="87">
        <v>6.0</v>
      </c>
      <c r="BL42" s="30"/>
      <c r="BM42" s="87">
        <v>5.0</v>
      </c>
      <c r="BN42" s="87">
        <v>2.0</v>
      </c>
      <c r="BO42" s="87">
        <v>6.0</v>
      </c>
      <c r="BP42" s="87">
        <v>2.0</v>
      </c>
      <c r="BQ42" s="87">
        <v>2.0</v>
      </c>
      <c r="BR42" s="87">
        <v>2.0</v>
      </c>
      <c r="BS42" s="87">
        <v>3.0</v>
      </c>
      <c r="BT42" s="30"/>
      <c r="BU42" s="87">
        <v>5.0</v>
      </c>
      <c r="BV42" s="87">
        <v>1.0</v>
      </c>
      <c r="BW42" s="87">
        <v>2.0</v>
      </c>
      <c r="BX42" s="87">
        <v>2.0</v>
      </c>
      <c r="BY42" s="87">
        <v>3.0</v>
      </c>
      <c r="BZ42" s="87">
        <v>2.0</v>
      </c>
      <c r="CA42" s="87">
        <v>3.0</v>
      </c>
      <c r="CB42" s="87">
        <v>1.0</v>
      </c>
      <c r="CC42" s="87">
        <v>1.0</v>
      </c>
      <c r="CD42" s="87">
        <v>2.0</v>
      </c>
      <c r="CE42" s="87">
        <v>2.0</v>
      </c>
      <c r="CF42" s="87">
        <v>6.0</v>
      </c>
      <c r="CG42" s="87">
        <v>3.0</v>
      </c>
      <c r="CH42" s="87">
        <v>7.0</v>
      </c>
      <c r="CI42" s="87">
        <v>2.0</v>
      </c>
      <c r="CJ42" s="87">
        <v>1.0</v>
      </c>
      <c r="CK42" s="87">
        <v>3.0</v>
      </c>
      <c r="CL42" s="87">
        <v>4.0</v>
      </c>
      <c r="CM42" s="87">
        <v>3.0</v>
      </c>
      <c r="CN42" s="87">
        <v>4.0</v>
      </c>
      <c r="CO42" s="87">
        <v>5.0</v>
      </c>
      <c r="CP42" s="112"/>
      <c r="CQ42" s="87">
        <v>3.0</v>
      </c>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87"/>
      <c r="EM42" s="87"/>
      <c r="EN42" s="87"/>
      <c r="EO42" s="87"/>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7"/>
      <c r="FN42" s="87"/>
      <c r="FO42" s="87"/>
      <c r="FP42" s="87"/>
      <c r="FQ42" s="87"/>
      <c r="FR42" s="87"/>
      <c r="FS42" s="87"/>
      <c r="FT42" s="87"/>
      <c r="FU42" s="87"/>
      <c r="FV42" s="87"/>
      <c r="FW42" s="87"/>
      <c r="FX42" s="87"/>
      <c r="FY42" s="87"/>
      <c r="FZ42" s="87"/>
      <c r="GA42" s="87"/>
      <c r="GB42" s="87"/>
      <c r="GC42" s="87"/>
      <c r="GD42" s="87"/>
      <c r="GE42" s="87"/>
      <c r="GF42" s="87"/>
      <c r="GG42" s="87"/>
      <c r="GH42" s="87"/>
      <c r="GI42" s="87"/>
      <c r="GJ42" s="87"/>
      <c r="GK42" s="87"/>
      <c r="GL42" s="87"/>
      <c r="GM42" s="87"/>
      <c r="GN42" s="87"/>
      <c r="GO42" s="87"/>
      <c r="GP42" s="87"/>
      <c r="GQ42" s="87"/>
      <c r="GR42" s="87"/>
      <c r="GS42" s="87"/>
      <c r="GT42" s="87"/>
      <c r="GU42" s="87"/>
      <c r="GV42" s="87"/>
      <c r="GW42" s="87"/>
      <c r="GX42" s="87"/>
      <c r="GY42" s="87"/>
      <c r="GZ42" s="87"/>
      <c r="HA42" s="87"/>
      <c r="HB42" s="87"/>
      <c r="HC42" s="87"/>
      <c r="HD42" s="87"/>
      <c r="HE42" s="87"/>
    </row>
    <row r="43">
      <c r="A43" s="99" t="s">
        <v>328</v>
      </c>
      <c r="B43" s="106">
        <f t="shared" si="6"/>
        <v>0.275862069</v>
      </c>
      <c r="C43" s="111">
        <f t="shared" si="7"/>
        <v>24</v>
      </c>
      <c r="D43" s="87">
        <v>1.0</v>
      </c>
      <c r="E43" s="87">
        <v>0.0</v>
      </c>
      <c r="F43" s="87">
        <v>0.0</v>
      </c>
      <c r="G43" s="87">
        <v>1.0</v>
      </c>
      <c r="H43" s="87">
        <v>1.0</v>
      </c>
      <c r="I43" s="87">
        <v>0.0</v>
      </c>
      <c r="J43" s="87">
        <v>0.0</v>
      </c>
      <c r="K43" s="87">
        <v>0.0</v>
      </c>
      <c r="L43" s="87">
        <v>0.0</v>
      </c>
      <c r="M43" s="87">
        <v>0.0</v>
      </c>
      <c r="N43" s="87">
        <v>0.0</v>
      </c>
      <c r="O43" s="87">
        <v>0.0</v>
      </c>
      <c r="P43" s="87">
        <v>0.0</v>
      </c>
      <c r="Q43" s="87">
        <v>0.0</v>
      </c>
      <c r="R43" s="87">
        <v>0.0</v>
      </c>
      <c r="S43" s="87">
        <v>1.0</v>
      </c>
      <c r="T43" s="87">
        <v>0.0</v>
      </c>
      <c r="U43" s="87">
        <v>0.0</v>
      </c>
      <c r="V43" s="87">
        <v>1.0</v>
      </c>
      <c r="W43" s="87">
        <v>0.0</v>
      </c>
      <c r="X43" s="87">
        <v>0.0</v>
      </c>
      <c r="Y43" s="87">
        <v>0.0</v>
      </c>
      <c r="Z43" s="87">
        <v>0.0</v>
      </c>
      <c r="AA43" s="87">
        <v>0.0</v>
      </c>
      <c r="AB43" s="87">
        <v>0.0</v>
      </c>
      <c r="AC43" s="87">
        <v>0.0</v>
      </c>
      <c r="AD43" s="87">
        <v>0.0</v>
      </c>
      <c r="AE43" s="87">
        <v>0.0</v>
      </c>
      <c r="AF43" s="87">
        <v>0.0</v>
      </c>
      <c r="AG43" s="87">
        <v>0.0</v>
      </c>
      <c r="AH43" s="87">
        <v>0.0</v>
      </c>
      <c r="AI43" s="87">
        <v>0.0</v>
      </c>
      <c r="AJ43" s="87">
        <v>0.0</v>
      </c>
      <c r="AK43" s="87">
        <v>0.0</v>
      </c>
      <c r="AL43" s="87">
        <v>0.0</v>
      </c>
      <c r="AM43" s="87">
        <v>1.0</v>
      </c>
      <c r="AN43" s="87">
        <v>0.0</v>
      </c>
      <c r="AO43" s="87">
        <v>0.0</v>
      </c>
      <c r="AP43" s="87">
        <v>0.0</v>
      </c>
      <c r="AQ43" s="87">
        <v>0.0</v>
      </c>
      <c r="AR43" s="87">
        <v>1.0</v>
      </c>
      <c r="AS43" s="87">
        <v>0.0</v>
      </c>
      <c r="AT43" s="87">
        <v>0.0</v>
      </c>
      <c r="AU43" s="87">
        <v>0.0</v>
      </c>
      <c r="AV43" s="87">
        <v>0.0</v>
      </c>
      <c r="AW43" s="87">
        <v>0.0</v>
      </c>
      <c r="AX43" s="87">
        <v>0.0</v>
      </c>
      <c r="AY43" s="87">
        <v>1.0</v>
      </c>
      <c r="AZ43" s="30"/>
      <c r="BA43" s="87">
        <v>0.0</v>
      </c>
      <c r="BB43" s="87">
        <v>0.0</v>
      </c>
      <c r="BC43" s="87">
        <v>0.0</v>
      </c>
      <c r="BD43" s="87">
        <v>0.0</v>
      </c>
      <c r="BE43" s="30"/>
      <c r="BF43" s="87">
        <v>0.0</v>
      </c>
      <c r="BG43" s="87">
        <v>0.0</v>
      </c>
      <c r="BH43" s="87">
        <v>1.0</v>
      </c>
      <c r="BI43" s="87">
        <v>0.0</v>
      </c>
      <c r="BJ43" s="87">
        <v>0.0</v>
      </c>
      <c r="BK43" s="87">
        <v>2.0</v>
      </c>
      <c r="BL43" s="30"/>
      <c r="BM43" s="87">
        <v>0.0</v>
      </c>
      <c r="BN43" s="87">
        <v>0.0</v>
      </c>
      <c r="BO43" s="87">
        <v>0.0</v>
      </c>
      <c r="BP43" s="87">
        <v>0.0</v>
      </c>
      <c r="BQ43" s="87">
        <v>0.0</v>
      </c>
      <c r="BR43" s="87">
        <v>1.0</v>
      </c>
      <c r="BS43" s="87">
        <v>1.0</v>
      </c>
      <c r="BT43" s="30"/>
      <c r="BU43" s="87">
        <v>0.0</v>
      </c>
      <c r="BV43" s="87">
        <v>1.0</v>
      </c>
      <c r="BW43" s="87">
        <v>0.0</v>
      </c>
      <c r="BX43" s="87">
        <v>0.0</v>
      </c>
      <c r="BY43" s="87">
        <v>1.0</v>
      </c>
      <c r="BZ43" s="87">
        <v>2.0</v>
      </c>
      <c r="CA43" s="87">
        <v>0.0</v>
      </c>
      <c r="CB43" s="87">
        <v>1.0</v>
      </c>
      <c r="CC43" s="87">
        <v>2.0</v>
      </c>
      <c r="CD43" s="87">
        <v>0.0</v>
      </c>
      <c r="CE43" s="87">
        <v>1.0</v>
      </c>
      <c r="CF43" s="87">
        <v>0.0</v>
      </c>
      <c r="CG43" s="87">
        <v>0.0</v>
      </c>
      <c r="CH43" s="87">
        <v>1.0</v>
      </c>
      <c r="CI43" s="87">
        <v>0.0</v>
      </c>
      <c r="CJ43" s="87">
        <v>0.0</v>
      </c>
      <c r="CK43" s="87">
        <v>1.0</v>
      </c>
      <c r="CL43" s="87">
        <v>0.0</v>
      </c>
      <c r="CM43" s="87">
        <v>1.0</v>
      </c>
      <c r="CN43" s="87">
        <v>0.0</v>
      </c>
      <c r="CO43" s="87">
        <v>0.0</v>
      </c>
      <c r="CP43" s="112"/>
      <c r="CQ43" s="87">
        <v>0.0</v>
      </c>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87"/>
      <c r="EM43" s="87"/>
      <c r="EN43" s="87"/>
      <c r="EO43" s="87"/>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7"/>
      <c r="FN43" s="87"/>
      <c r="FO43" s="87"/>
      <c r="FP43" s="87"/>
      <c r="FQ43" s="87"/>
      <c r="FR43" s="87"/>
      <c r="FS43" s="87"/>
      <c r="FT43" s="87"/>
      <c r="FU43" s="87"/>
      <c r="FV43" s="87"/>
      <c r="FW43" s="87"/>
      <c r="FX43" s="87"/>
      <c r="FY43" s="87"/>
      <c r="FZ43" s="87"/>
      <c r="GA43" s="87"/>
      <c r="GB43" s="87"/>
      <c r="GC43" s="87"/>
      <c r="GD43" s="87"/>
      <c r="GE43" s="87"/>
      <c r="GF43" s="87"/>
      <c r="GG43" s="87"/>
      <c r="GH43" s="87"/>
      <c r="GI43" s="87"/>
      <c r="GJ43" s="87"/>
      <c r="GK43" s="87"/>
      <c r="GL43" s="87"/>
      <c r="GM43" s="87"/>
      <c r="GN43" s="87"/>
      <c r="GO43" s="87"/>
      <c r="GP43" s="87"/>
      <c r="GQ43" s="87"/>
      <c r="GR43" s="87"/>
      <c r="GS43" s="87"/>
      <c r="GT43" s="87"/>
      <c r="GU43" s="87"/>
      <c r="GV43" s="87"/>
      <c r="GW43" s="87"/>
      <c r="GX43" s="87"/>
      <c r="GY43" s="87"/>
      <c r="GZ43" s="87"/>
      <c r="HA43" s="87"/>
      <c r="HB43" s="87"/>
      <c r="HC43" s="87"/>
      <c r="HD43" s="87"/>
      <c r="HE43" s="87"/>
    </row>
    <row r="44">
      <c r="A44" s="114" t="s">
        <v>329</v>
      </c>
      <c r="B44" s="106">
        <f t="shared" si="6"/>
        <v>869.3103448</v>
      </c>
      <c r="C44" s="111">
        <f t="shared" si="7"/>
        <v>75630</v>
      </c>
      <c r="D44" s="109">
        <v>864.0</v>
      </c>
      <c r="E44" s="109">
        <v>924.0</v>
      </c>
      <c r="F44" s="109">
        <v>874.0</v>
      </c>
      <c r="G44" s="109">
        <v>884.0</v>
      </c>
      <c r="H44" s="109">
        <v>712.0</v>
      </c>
      <c r="I44" s="109">
        <v>790.0</v>
      </c>
      <c r="J44" s="109">
        <v>934.0</v>
      </c>
      <c r="K44" s="109">
        <v>942.0</v>
      </c>
      <c r="L44" s="109">
        <v>1066.0</v>
      </c>
      <c r="M44" s="109">
        <v>814.0</v>
      </c>
      <c r="N44" s="109">
        <v>1022.0</v>
      </c>
      <c r="O44" s="109">
        <v>1014.0</v>
      </c>
      <c r="P44" s="109">
        <v>738.0</v>
      </c>
      <c r="Q44" s="109">
        <v>1002.0</v>
      </c>
      <c r="R44" s="109">
        <v>742.0</v>
      </c>
      <c r="S44" s="109">
        <v>810.0</v>
      </c>
      <c r="T44" s="109">
        <v>990.0</v>
      </c>
      <c r="U44" s="109">
        <v>806.0</v>
      </c>
      <c r="V44" s="109">
        <v>988.0</v>
      </c>
      <c r="W44" s="109">
        <v>960.0</v>
      </c>
      <c r="X44" s="109">
        <v>858.0</v>
      </c>
      <c r="Y44" s="109">
        <v>724.0</v>
      </c>
      <c r="Z44" s="109">
        <v>1066.0</v>
      </c>
      <c r="AA44" s="109">
        <v>862.0</v>
      </c>
      <c r="AB44" s="109">
        <v>936.0</v>
      </c>
      <c r="AC44" s="109">
        <v>1018.0</v>
      </c>
      <c r="AD44" s="109">
        <v>728.0</v>
      </c>
      <c r="AE44" s="109">
        <v>906.0</v>
      </c>
      <c r="AF44" s="109">
        <v>730.0</v>
      </c>
      <c r="AG44" s="109">
        <v>958.0</v>
      </c>
      <c r="AH44" s="109">
        <v>958.0</v>
      </c>
      <c r="AI44" s="109">
        <v>872.0</v>
      </c>
      <c r="AJ44" s="109">
        <v>952.0</v>
      </c>
      <c r="AK44" s="109">
        <v>708.0</v>
      </c>
      <c r="AL44" s="109">
        <v>1024.0</v>
      </c>
      <c r="AM44" s="109">
        <v>960.0</v>
      </c>
      <c r="AN44" s="109">
        <v>852.0</v>
      </c>
      <c r="AO44" s="109">
        <v>1010.0</v>
      </c>
      <c r="AP44" s="109">
        <v>774.0</v>
      </c>
      <c r="AQ44" s="109">
        <v>800.0</v>
      </c>
      <c r="AR44" s="109">
        <v>764.0</v>
      </c>
      <c r="AS44" s="109">
        <v>834.0</v>
      </c>
      <c r="AT44" s="109">
        <v>740.0</v>
      </c>
      <c r="AU44" s="109">
        <v>974.0</v>
      </c>
      <c r="AV44" s="109">
        <v>948.0</v>
      </c>
      <c r="AW44" s="109">
        <v>680.0</v>
      </c>
      <c r="AX44" s="109">
        <v>850.0</v>
      </c>
      <c r="AY44" s="109">
        <v>882.0</v>
      </c>
      <c r="AZ44" s="30"/>
      <c r="BA44" s="109">
        <v>758.0</v>
      </c>
      <c r="BB44" s="109">
        <v>872.0</v>
      </c>
      <c r="BC44" s="109">
        <v>864.0</v>
      </c>
      <c r="BD44" s="109">
        <v>1062.0</v>
      </c>
      <c r="BE44" s="30"/>
      <c r="BF44" s="109">
        <v>972.0</v>
      </c>
      <c r="BG44" s="109">
        <v>808.0</v>
      </c>
      <c r="BH44" s="109">
        <v>1004.0</v>
      </c>
      <c r="BI44" s="109">
        <v>646.0</v>
      </c>
      <c r="BJ44" s="109">
        <v>962.0</v>
      </c>
      <c r="BK44" s="109">
        <v>890.0</v>
      </c>
      <c r="BL44" s="30"/>
      <c r="BM44" s="109">
        <v>842.0</v>
      </c>
      <c r="BN44" s="109">
        <v>936.0</v>
      </c>
      <c r="BO44" s="109">
        <v>900.0</v>
      </c>
      <c r="BP44" s="109">
        <v>856.0</v>
      </c>
      <c r="BQ44" s="109">
        <v>694.0</v>
      </c>
      <c r="BR44" s="109">
        <v>718.0</v>
      </c>
      <c r="BS44" s="109">
        <v>920.0</v>
      </c>
      <c r="BT44" s="30"/>
      <c r="BU44" s="109">
        <v>794.0</v>
      </c>
      <c r="BV44" s="109">
        <v>970.0</v>
      </c>
      <c r="BW44" s="109">
        <v>842.0</v>
      </c>
      <c r="BX44" s="109">
        <v>764.0</v>
      </c>
      <c r="BY44" s="109">
        <v>810.0</v>
      </c>
      <c r="BZ44" s="109">
        <v>840.0</v>
      </c>
      <c r="CA44" s="109">
        <v>752.0</v>
      </c>
      <c r="CB44" s="109">
        <v>828.0</v>
      </c>
      <c r="CC44" s="109">
        <v>962.0</v>
      </c>
      <c r="CD44" s="109">
        <v>606.0</v>
      </c>
      <c r="CE44" s="109">
        <v>1034.0</v>
      </c>
      <c r="CF44" s="109">
        <v>798.0</v>
      </c>
      <c r="CG44" s="109">
        <v>882.0</v>
      </c>
      <c r="CH44" s="109">
        <v>932.0</v>
      </c>
      <c r="CI44" s="109">
        <v>634.0</v>
      </c>
      <c r="CJ44" s="109">
        <v>770.0</v>
      </c>
      <c r="CK44" s="109">
        <v>936.0</v>
      </c>
      <c r="CL44" s="109">
        <v>1050.0</v>
      </c>
      <c r="CM44" s="109">
        <v>982.0</v>
      </c>
      <c r="CN44" s="109">
        <v>752.0</v>
      </c>
      <c r="CO44" s="109">
        <v>1052.0</v>
      </c>
      <c r="CP44" s="112"/>
      <c r="CQ44" s="109">
        <v>692.0</v>
      </c>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row>
    <row r="45">
      <c r="A45" s="115" t="s">
        <v>330</v>
      </c>
      <c r="B45" s="116">
        <f t="shared" si="6"/>
        <v>13692.87356</v>
      </c>
      <c r="C45" s="117">
        <f>SUM(C44, 1750*C33, 1750*C34, 750*C35, 450*C36, 300*C37, 1500*C39, 500*C40, 200*C41, 50*C42, B12*C9)</f>
        <v>1191280</v>
      </c>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30"/>
      <c r="EO45" s="30"/>
      <c r="EP45" s="30"/>
      <c r="EQ45" s="30"/>
      <c r="ER45" s="30"/>
      <c r="ES45" s="30"/>
      <c r="ET45" s="30"/>
      <c r="EU45" s="30"/>
      <c r="EV45" s="30"/>
      <c r="EW45" s="30"/>
      <c r="EX45" s="30"/>
      <c r="EY45" s="30"/>
      <c r="EZ45" s="30"/>
      <c r="FA45" s="30"/>
      <c r="FB45" s="30"/>
      <c r="FC45" s="30"/>
      <c r="FD45" s="30"/>
      <c r="FE45" s="30"/>
      <c r="FF45" s="30"/>
      <c r="FG45" s="30"/>
      <c r="FH45" s="30"/>
      <c r="FI45" s="30"/>
      <c r="FJ45" s="30"/>
      <c r="FK45" s="30"/>
      <c r="FL45" s="30"/>
      <c r="FM45" s="30"/>
      <c r="FN45" s="30"/>
      <c r="FO45" s="30"/>
      <c r="FP45" s="30"/>
      <c r="FQ45" s="30"/>
      <c r="FR45" s="30"/>
      <c r="FS45" s="30"/>
      <c r="FT45" s="30"/>
      <c r="FU45" s="30"/>
      <c r="FV45" s="30"/>
      <c r="FW45" s="30"/>
      <c r="FX45" s="30"/>
      <c r="FY45" s="30"/>
      <c r="FZ45" s="30"/>
      <c r="GA45" s="30"/>
      <c r="GB45" s="30"/>
      <c r="GC45" s="30"/>
      <c r="GD45" s="30"/>
      <c r="GE45" s="30"/>
      <c r="GF45" s="30"/>
      <c r="GG45" s="30"/>
      <c r="GH45" s="30"/>
      <c r="GI45" s="30"/>
      <c r="GJ45" s="30"/>
      <c r="GK45" s="30"/>
      <c r="GL45" s="30"/>
      <c r="GM45" s="30"/>
      <c r="GN45" s="30"/>
      <c r="GO45" s="30"/>
      <c r="GP45" s="30"/>
      <c r="GQ45" s="30"/>
      <c r="GR45" s="30"/>
      <c r="GS45" s="30"/>
      <c r="GT45" s="30"/>
      <c r="GU45" s="30"/>
      <c r="GV45" s="30"/>
      <c r="GW45" s="30"/>
      <c r="GX45" s="30"/>
      <c r="GY45" s="30"/>
      <c r="GZ45" s="30"/>
      <c r="HA45" s="30"/>
      <c r="HB45" s="30"/>
      <c r="HC45" s="30"/>
      <c r="HD45" s="30"/>
      <c r="HE45" s="30"/>
    </row>
    <row r="46">
      <c r="A46" s="79" t="s">
        <v>331</v>
      </c>
      <c r="B46" s="116">
        <f t="shared" si="6"/>
        <v>0.4597701149</v>
      </c>
      <c r="C46" s="117">
        <f>C43 + 2*C13*C9</f>
        <v>40</v>
      </c>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30"/>
      <c r="EO46" s="30"/>
      <c r="EP46" s="30"/>
      <c r="EQ46" s="30"/>
      <c r="ER46" s="30"/>
      <c r="ES46" s="30"/>
      <c r="ET46" s="30"/>
      <c r="EU46" s="30"/>
      <c r="EV46" s="30"/>
      <c r="EW46" s="30"/>
      <c r="EX46" s="30"/>
      <c r="EY46" s="30"/>
      <c r="EZ46" s="30"/>
      <c r="FA46" s="30"/>
      <c r="FB46" s="30"/>
      <c r="FC46" s="30"/>
      <c r="FD46" s="30"/>
      <c r="FE46" s="30"/>
      <c r="FF46" s="30"/>
      <c r="FG46" s="30"/>
      <c r="FH46" s="30"/>
      <c r="FI46" s="30"/>
      <c r="FJ46" s="30"/>
      <c r="FK46" s="30"/>
      <c r="FL46" s="30"/>
      <c r="FM46" s="30"/>
      <c r="FN46" s="30"/>
      <c r="FO46" s="30"/>
      <c r="FP46" s="30"/>
      <c r="FQ46" s="30"/>
      <c r="FR46" s="30"/>
      <c r="FS46" s="30"/>
      <c r="FT46" s="30"/>
      <c r="FU46" s="30"/>
      <c r="FV46" s="30"/>
      <c r="FW46" s="30"/>
      <c r="FX46" s="30"/>
      <c r="FY46" s="30"/>
      <c r="FZ46" s="30"/>
      <c r="GA46" s="30"/>
      <c r="GB46" s="30"/>
      <c r="GC46" s="30"/>
      <c r="GD46" s="30"/>
      <c r="GE46" s="30"/>
      <c r="GF46" s="30"/>
      <c r="GG46" s="30"/>
      <c r="GH46" s="30"/>
      <c r="GI46" s="30"/>
      <c r="GJ46" s="30"/>
      <c r="GK46" s="30"/>
      <c r="GL46" s="30"/>
      <c r="GM46" s="30"/>
      <c r="GN46" s="30"/>
      <c r="GO46" s="30"/>
      <c r="GP46" s="30"/>
      <c r="GQ46" s="30"/>
      <c r="GR46" s="30"/>
      <c r="GS46" s="30"/>
      <c r="GT46" s="30"/>
      <c r="GU46" s="30"/>
      <c r="GV46" s="30"/>
      <c r="GW46" s="30"/>
      <c r="GX46" s="30"/>
      <c r="GY46" s="30"/>
      <c r="GZ46" s="30"/>
      <c r="HA46" s="30"/>
      <c r="HB46" s="30"/>
      <c r="HC46" s="30"/>
      <c r="HD46" s="30"/>
      <c r="HE46" s="30"/>
    </row>
    <row r="47">
      <c r="A47" s="64" t="s">
        <v>332</v>
      </c>
      <c r="B47" s="96"/>
      <c r="C47" s="105">
        <f>SUM(C48:C107)</f>
        <v>226</v>
      </c>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0"/>
      <c r="FG47" s="30"/>
      <c r="FH47" s="30"/>
      <c r="FI47" s="30"/>
      <c r="FJ47" s="30"/>
      <c r="FK47" s="30"/>
      <c r="FL47" s="30"/>
      <c r="FM47" s="30"/>
      <c r="FN47" s="30"/>
      <c r="FO47" s="30"/>
      <c r="FP47" s="30"/>
      <c r="FQ47" s="30"/>
      <c r="FR47" s="30"/>
      <c r="FS47" s="30"/>
      <c r="FT47" s="30"/>
      <c r="FU47" s="30"/>
      <c r="FV47" s="30"/>
      <c r="FW47" s="30"/>
      <c r="FX47" s="30"/>
      <c r="FY47" s="30"/>
      <c r="FZ47" s="30"/>
      <c r="GA47" s="30"/>
      <c r="GB47" s="30"/>
      <c r="GC47" s="30"/>
      <c r="GD47" s="30"/>
      <c r="GE47" s="30"/>
      <c r="GF47" s="30"/>
      <c r="GG47" s="30"/>
      <c r="GH47" s="30"/>
      <c r="GI47" s="30"/>
      <c r="GJ47" s="30"/>
      <c r="GK47" s="30"/>
      <c r="GL47" s="30"/>
      <c r="GM47" s="30"/>
      <c r="GN47" s="30"/>
      <c r="GO47" s="30"/>
      <c r="GP47" s="30"/>
      <c r="GQ47" s="30"/>
      <c r="GR47" s="30"/>
      <c r="GS47" s="30"/>
      <c r="GT47" s="30"/>
      <c r="GU47" s="30"/>
      <c r="GV47" s="30"/>
      <c r="GW47" s="30"/>
      <c r="GX47" s="30"/>
      <c r="GY47" s="30"/>
      <c r="GZ47" s="30"/>
      <c r="HA47" s="30"/>
      <c r="HB47" s="30"/>
      <c r="HC47" s="30"/>
      <c r="HD47" s="30"/>
      <c r="HE47" s="30"/>
    </row>
    <row r="48">
      <c r="A48" s="9" t="s">
        <v>81</v>
      </c>
      <c r="B48" s="118">
        <f t="shared" ref="B48:B107" si="8">C48/$C$47</f>
        <v>0.01327433628</v>
      </c>
      <c r="C48" s="111">
        <f t="shared" ref="C48:C107" si="9">COUNTA(D48:AFC48)</f>
        <v>3</v>
      </c>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87">
        <v>3.0</v>
      </c>
      <c r="BO48" s="30"/>
      <c r="BP48" s="30"/>
      <c r="BQ48" s="30"/>
      <c r="BR48" s="30"/>
      <c r="BS48" s="30"/>
      <c r="BT48" s="30"/>
      <c r="BU48" s="30"/>
      <c r="BV48" s="87" t="s">
        <v>333</v>
      </c>
      <c r="BW48" s="87">
        <v>1.0</v>
      </c>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30"/>
      <c r="EO48" s="30"/>
      <c r="EP48" s="30"/>
      <c r="EQ48" s="30"/>
      <c r="ER48" s="30"/>
      <c r="ES48" s="30"/>
      <c r="ET48" s="30"/>
      <c r="EU48" s="30"/>
      <c r="EV48" s="30"/>
      <c r="EW48" s="30"/>
      <c r="EX48" s="30"/>
      <c r="EY48" s="30"/>
      <c r="EZ48" s="30"/>
      <c r="FA48" s="30"/>
      <c r="FB48" s="30"/>
      <c r="FC48" s="30"/>
      <c r="FD48" s="30"/>
      <c r="FE48" s="30"/>
      <c r="FF48" s="30"/>
      <c r="FG48" s="30"/>
      <c r="FH48" s="30"/>
      <c r="FI48" s="30"/>
      <c r="FJ48" s="30"/>
      <c r="FK48" s="30"/>
      <c r="FL48" s="30"/>
      <c r="FM48" s="30"/>
      <c r="FN48" s="30"/>
      <c r="FO48" s="30"/>
      <c r="FP48" s="30"/>
      <c r="FQ48" s="30"/>
      <c r="FR48" s="30"/>
      <c r="FS48" s="30"/>
      <c r="FT48" s="30"/>
      <c r="FU48" s="30"/>
      <c r="FV48" s="30"/>
      <c r="FW48" s="30"/>
      <c r="FX48" s="30"/>
      <c r="FY48" s="30"/>
      <c r="FZ48" s="30"/>
      <c r="GA48" s="30"/>
      <c r="GB48" s="30"/>
      <c r="GC48" s="30"/>
      <c r="GD48" s="30"/>
      <c r="GE48" s="30"/>
      <c r="GF48" s="30"/>
      <c r="GG48" s="30"/>
      <c r="GH48" s="30"/>
      <c r="GI48" s="30"/>
      <c r="GJ48" s="30"/>
      <c r="GK48" s="30"/>
      <c r="GL48" s="30"/>
      <c r="GM48" s="30"/>
      <c r="GN48" s="30"/>
      <c r="GO48" s="30"/>
      <c r="GP48" s="30"/>
      <c r="GQ48" s="30"/>
      <c r="GR48" s="30"/>
      <c r="GS48" s="30"/>
      <c r="GT48" s="30"/>
      <c r="GU48" s="30"/>
      <c r="GV48" s="30"/>
      <c r="GW48" s="30"/>
      <c r="GX48" s="30"/>
      <c r="GY48" s="30"/>
      <c r="GZ48" s="30"/>
      <c r="HA48" s="30"/>
      <c r="HB48" s="30"/>
      <c r="HC48" s="30"/>
      <c r="HD48" s="30"/>
      <c r="HE48" s="30"/>
    </row>
    <row r="49">
      <c r="A49" s="9" t="s">
        <v>102</v>
      </c>
      <c r="B49" s="118">
        <f t="shared" si="8"/>
        <v>0.008849557522</v>
      </c>
      <c r="C49" s="111">
        <f t="shared" si="9"/>
        <v>2</v>
      </c>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87">
        <v>2.0</v>
      </c>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87">
        <v>2.0</v>
      </c>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c r="FH49" s="30"/>
      <c r="FI49" s="30"/>
      <c r="FJ49" s="30"/>
      <c r="FK49" s="30"/>
      <c r="FL49" s="30"/>
      <c r="FM49" s="30"/>
      <c r="FN49" s="30"/>
      <c r="FO49" s="30"/>
      <c r="FP49" s="30"/>
      <c r="FQ49" s="30"/>
      <c r="FR49" s="30"/>
      <c r="FS49" s="30"/>
      <c r="FT49" s="30"/>
      <c r="FU49" s="30"/>
      <c r="FV49" s="30"/>
      <c r="FW49" s="30"/>
      <c r="FX49" s="30"/>
      <c r="FY49" s="30"/>
      <c r="FZ49" s="30"/>
      <c r="GA49" s="30"/>
      <c r="GB49" s="30"/>
      <c r="GC49" s="30"/>
      <c r="GD49" s="30"/>
      <c r="GE49" s="30"/>
      <c r="GF49" s="30"/>
      <c r="GG49" s="30"/>
      <c r="GH49" s="30"/>
      <c r="GI49" s="30"/>
      <c r="GJ49" s="30"/>
      <c r="GK49" s="30"/>
      <c r="GL49" s="30"/>
      <c r="GM49" s="30"/>
      <c r="GN49" s="30"/>
      <c r="GO49" s="30"/>
      <c r="GP49" s="30"/>
      <c r="GQ49" s="30"/>
      <c r="GR49" s="30"/>
      <c r="GS49" s="30"/>
      <c r="GT49" s="30"/>
      <c r="GU49" s="30"/>
      <c r="GV49" s="30"/>
      <c r="GW49" s="30"/>
      <c r="GX49" s="30"/>
      <c r="GY49" s="30"/>
      <c r="GZ49" s="30"/>
      <c r="HA49" s="30"/>
      <c r="HB49" s="30"/>
      <c r="HC49" s="30"/>
      <c r="HD49" s="30"/>
      <c r="HE49" s="30"/>
    </row>
    <row r="50">
      <c r="A50" s="9" t="s">
        <v>123</v>
      </c>
      <c r="B50" s="118">
        <f t="shared" si="8"/>
        <v>0.01769911504</v>
      </c>
      <c r="C50" s="111">
        <f t="shared" si="9"/>
        <v>4</v>
      </c>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87">
        <v>3.0</v>
      </c>
      <c r="BE50" s="30"/>
      <c r="BF50" s="30"/>
      <c r="BG50" s="87">
        <v>1.0</v>
      </c>
      <c r="BH50" s="30"/>
      <c r="BI50" s="30"/>
      <c r="BJ50" s="30"/>
      <c r="BK50" s="30"/>
      <c r="BL50" s="30"/>
      <c r="BM50" s="30"/>
      <c r="BN50" s="30"/>
      <c r="BO50" s="30"/>
      <c r="BP50" s="30"/>
      <c r="BQ50" s="87">
        <v>1.0</v>
      </c>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87">
        <v>2.0</v>
      </c>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c r="FH50" s="30"/>
      <c r="FI50" s="30"/>
      <c r="FJ50" s="30"/>
      <c r="FK50" s="30"/>
      <c r="FL50" s="30"/>
      <c r="FM50" s="30"/>
      <c r="FN50" s="30"/>
      <c r="FO50" s="30"/>
      <c r="FP50" s="30"/>
      <c r="FQ50" s="30"/>
      <c r="FR50" s="30"/>
      <c r="FS50" s="30"/>
      <c r="FT50" s="30"/>
      <c r="FU50" s="30"/>
      <c r="FV50" s="30"/>
      <c r="FW50" s="30"/>
      <c r="FX50" s="30"/>
      <c r="FY50" s="30"/>
      <c r="FZ50" s="30"/>
      <c r="GA50" s="30"/>
      <c r="GB50" s="30"/>
      <c r="GC50" s="30"/>
      <c r="GD50" s="30"/>
      <c r="GE50" s="30"/>
      <c r="GF50" s="30"/>
      <c r="GG50" s="30"/>
      <c r="GH50" s="30"/>
      <c r="GI50" s="30"/>
      <c r="GJ50" s="30"/>
      <c r="GK50" s="30"/>
      <c r="GL50" s="30"/>
      <c r="GM50" s="30"/>
      <c r="GN50" s="30"/>
      <c r="GO50" s="30"/>
      <c r="GP50" s="30"/>
      <c r="GQ50" s="30"/>
      <c r="GR50" s="30"/>
      <c r="GS50" s="30"/>
      <c r="GT50" s="30"/>
      <c r="GU50" s="30"/>
      <c r="GV50" s="30"/>
      <c r="GW50" s="30"/>
      <c r="GX50" s="30"/>
      <c r="GY50" s="30"/>
      <c r="GZ50" s="30"/>
      <c r="HA50" s="30"/>
      <c r="HB50" s="30"/>
      <c r="HC50" s="30"/>
      <c r="HD50" s="30"/>
      <c r="HE50" s="30"/>
    </row>
    <row r="51">
      <c r="A51" s="9" t="s">
        <v>82</v>
      </c>
      <c r="B51" s="118">
        <f t="shared" si="8"/>
        <v>0.008849557522</v>
      </c>
      <c r="C51" s="111">
        <f t="shared" si="9"/>
        <v>2</v>
      </c>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87">
        <v>2.0</v>
      </c>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87">
        <v>2.0</v>
      </c>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0"/>
      <c r="FG51" s="30"/>
      <c r="FH51" s="30"/>
      <c r="FI51" s="30"/>
      <c r="FJ51" s="30"/>
      <c r="FK51" s="30"/>
      <c r="FL51" s="30"/>
      <c r="FM51" s="30"/>
      <c r="FN51" s="30"/>
      <c r="FO51" s="30"/>
      <c r="FP51" s="30"/>
      <c r="FQ51" s="30"/>
      <c r="FR51" s="30"/>
      <c r="FS51" s="30"/>
      <c r="FT51" s="30"/>
      <c r="FU51" s="30"/>
      <c r="FV51" s="30"/>
      <c r="FW51" s="30"/>
      <c r="FX51" s="30"/>
      <c r="FY51" s="30"/>
      <c r="FZ51" s="30"/>
      <c r="GA51" s="30"/>
      <c r="GB51" s="30"/>
      <c r="GC51" s="30"/>
      <c r="GD51" s="30"/>
      <c r="GE51" s="30"/>
      <c r="GF51" s="30"/>
      <c r="GG51" s="30"/>
      <c r="GH51" s="30"/>
      <c r="GI51" s="30"/>
      <c r="GJ51" s="30"/>
      <c r="GK51" s="30"/>
      <c r="GL51" s="30"/>
      <c r="GM51" s="30"/>
      <c r="GN51" s="30"/>
      <c r="GO51" s="30"/>
      <c r="GP51" s="30"/>
      <c r="GQ51" s="30"/>
      <c r="GR51" s="30"/>
      <c r="GS51" s="30"/>
      <c r="GT51" s="30"/>
      <c r="GU51" s="30"/>
      <c r="GV51" s="30"/>
      <c r="GW51" s="30"/>
      <c r="GX51" s="30"/>
      <c r="GY51" s="30"/>
      <c r="GZ51" s="30"/>
      <c r="HA51" s="30"/>
      <c r="HB51" s="30"/>
      <c r="HC51" s="30"/>
      <c r="HD51" s="30"/>
      <c r="HE51" s="30"/>
    </row>
    <row r="52">
      <c r="A52" s="9" t="s">
        <v>103</v>
      </c>
      <c r="B52" s="118">
        <f t="shared" si="8"/>
        <v>0.01769911504</v>
      </c>
      <c r="C52" s="111">
        <f t="shared" si="9"/>
        <v>4</v>
      </c>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87">
        <v>2.0</v>
      </c>
      <c r="BP52" s="30"/>
      <c r="BQ52" s="30"/>
      <c r="BR52" s="30"/>
      <c r="BS52" s="30"/>
      <c r="BT52" s="30"/>
      <c r="BU52" s="30"/>
      <c r="BV52" s="30"/>
      <c r="BW52" s="30"/>
      <c r="BX52" s="30"/>
      <c r="BY52" s="30"/>
      <c r="BZ52" s="87">
        <v>4.0</v>
      </c>
      <c r="CA52" s="112"/>
      <c r="CB52" s="112"/>
      <c r="CC52" s="112"/>
      <c r="CD52" s="112"/>
      <c r="CE52" s="112"/>
      <c r="CF52" s="112"/>
      <c r="CG52" s="112"/>
      <c r="CH52" s="112"/>
      <c r="CI52" s="112"/>
      <c r="CJ52" s="112"/>
      <c r="CK52" s="112"/>
      <c r="CL52" s="87">
        <v>3.0</v>
      </c>
      <c r="CM52" s="112"/>
      <c r="CN52" s="87">
        <v>2.0</v>
      </c>
      <c r="CO52" s="112"/>
      <c r="CP52" s="112"/>
      <c r="CQ52" s="112"/>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87"/>
      <c r="EM52" s="87"/>
      <c r="EN52" s="87"/>
      <c r="EO52" s="87"/>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7"/>
      <c r="FN52" s="87"/>
      <c r="FO52" s="87"/>
      <c r="FP52" s="87"/>
      <c r="FQ52" s="87"/>
      <c r="FR52" s="87"/>
      <c r="FS52" s="87"/>
      <c r="FT52" s="87"/>
      <c r="FU52" s="87"/>
      <c r="FV52" s="87"/>
      <c r="FW52" s="87"/>
      <c r="FX52" s="87"/>
      <c r="FY52" s="87"/>
      <c r="FZ52" s="87"/>
      <c r="GA52" s="87"/>
      <c r="GB52" s="87"/>
      <c r="GC52" s="87"/>
      <c r="GD52" s="87"/>
      <c r="GE52" s="87"/>
      <c r="GF52" s="87"/>
      <c r="GG52" s="87"/>
      <c r="GH52" s="87"/>
      <c r="GI52" s="87"/>
      <c r="GJ52" s="87"/>
      <c r="GK52" s="87"/>
      <c r="GL52" s="87"/>
      <c r="GM52" s="87"/>
      <c r="GN52" s="87"/>
      <c r="GO52" s="87"/>
      <c r="GP52" s="87"/>
      <c r="GQ52" s="87"/>
      <c r="GR52" s="87"/>
      <c r="GS52" s="87"/>
      <c r="GT52" s="87"/>
      <c r="GU52" s="87"/>
      <c r="GV52" s="87"/>
      <c r="GW52" s="87"/>
      <c r="GX52" s="87"/>
      <c r="GY52" s="87"/>
      <c r="GZ52" s="87"/>
      <c r="HA52" s="87"/>
      <c r="HB52" s="87"/>
      <c r="HC52" s="87"/>
      <c r="HD52" s="87"/>
      <c r="HE52" s="87"/>
    </row>
    <row r="53">
      <c r="A53" s="9" t="s">
        <v>124</v>
      </c>
      <c r="B53" s="118">
        <f t="shared" si="8"/>
        <v>0.02212389381</v>
      </c>
      <c r="C53" s="111">
        <f t="shared" si="9"/>
        <v>5</v>
      </c>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87">
        <v>5.0</v>
      </c>
      <c r="BB53" s="30"/>
      <c r="BC53" s="30"/>
      <c r="BD53" s="30"/>
      <c r="BE53" s="30"/>
      <c r="BF53" s="30"/>
      <c r="BG53" s="30"/>
      <c r="BH53" s="30"/>
      <c r="BI53" s="30"/>
      <c r="BJ53" s="30"/>
      <c r="BK53" s="87">
        <v>3.0</v>
      </c>
      <c r="BL53" s="30"/>
      <c r="BM53" s="30"/>
      <c r="BN53" s="30"/>
      <c r="BO53" s="30"/>
      <c r="BP53" s="30"/>
      <c r="BQ53" s="30"/>
      <c r="BR53" s="30"/>
      <c r="BS53" s="30"/>
      <c r="BT53" s="30"/>
      <c r="BU53" s="30"/>
      <c r="BV53" s="30"/>
      <c r="BW53" s="30"/>
      <c r="BX53" s="87">
        <v>2.0</v>
      </c>
      <c r="BY53" s="30"/>
      <c r="BZ53" s="30"/>
      <c r="CA53" s="30"/>
      <c r="CB53" s="30"/>
      <c r="CC53" s="30"/>
      <c r="CD53" s="30"/>
      <c r="CE53" s="30"/>
      <c r="CF53" s="30"/>
      <c r="CG53" s="30"/>
      <c r="CH53" s="30"/>
      <c r="CI53" s="30"/>
      <c r="CJ53" s="30"/>
      <c r="CK53" s="30"/>
      <c r="CL53" s="30"/>
      <c r="CM53" s="87">
        <v>1.0</v>
      </c>
      <c r="CN53" s="30"/>
      <c r="CO53" s="87" t="s">
        <v>333</v>
      </c>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0"/>
      <c r="FA53" s="30"/>
      <c r="FB53" s="30"/>
      <c r="FC53" s="30"/>
      <c r="FD53" s="30"/>
      <c r="FE53" s="30"/>
      <c r="FF53" s="30"/>
      <c r="FG53" s="30"/>
      <c r="FH53" s="30"/>
      <c r="FI53" s="30"/>
      <c r="FJ53" s="30"/>
      <c r="FK53" s="30"/>
      <c r="FL53" s="30"/>
      <c r="FM53" s="30"/>
      <c r="FN53" s="30"/>
      <c r="FO53" s="30"/>
      <c r="FP53" s="30"/>
      <c r="FQ53" s="30"/>
      <c r="FR53" s="30"/>
      <c r="FS53" s="30"/>
      <c r="FT53" s="30"/>
      <c r="FU53" s="30"/>
      <c r="FV53" s="30"/>
      <c r="FW53" s="30"/>
      <c r="FX53" s="30"/>
      <c r="FY53" s="30"/>
      <c r="FZ53" s="30"/>
      <c r="GA53" s="30"/>
      <c r="GB53" s="30"/>
      <c r="GC53" s="30"/>
      <c r="GD53" s="30"/>
      <c r="GE53" s="30"/>
      <c r="GF53" s="30"/>
      <c r="GG53" s="30"/>
      <c r="GH53" s="30"/>
      <c r="GI53" s="30"/>
      <c r="GJ53" s="30"/>
      <c r="GK53" s="30"/>
      <c r="GL53" s="30"/>
      <c r="GM53" s="30"/>
      <c r="GN53" s="30"/>
      <c r="GO53" s="30"/>
      <c r="GP53" s="30"/>
      <c r="GQ53" s="30"/>
      <c r="GR53" s="30"/>
      <c r="GS53" s="30"/>
      <c r="GT53" s="30"/>
      <c r="GU53" s="30"/>
      <c r="GV53" s="30"/>
      <c r="GW53" s="30"/>
      <c r="GX53" s="30"/>
      <c r="GY53" s="30"/>
      <c r="GZ53" s="30"/>
      <c r="HA53" s="30"/>
      <c r="HB53" s="30"/>
      <c r="HC53" s="30"/>
      <c r="HD53" s="30"/>
      <c r="HE53" s="30"/>
    </row>
    <row r="54">
      <c r="A54" s="9" t="s">
        <v>83</v>
      </c>
      <c r="B54" s="118">
        <f t="shared" si="8"/>
        <v>0.008849557522</v>
      </c>
      <c r="C54" s="111">
        <f t="shared" si="9"/>
        <v>2</v>
      </c>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87" t="s">
        <v>334</v>
      </c>
      <c r="CB54" s="30"/>
      <c r="CC54" s="30"/>
      <c r="CD54" s="30"/>
      <c r="CE54" s="30"/>
      <c r="CF54" s="30"/>
      <c r="CG54" s="30"/>
      <c r="CH54" s="30"/>
      <c r="CI54" s="30"/>
      <c r="CJ54" s="30"/>
      <c r="CK54" s="30"/>
      <c r="CL54" s="30"/>
      <c r="CM54" s="30"/>
      <c r="CN54" s="30"/>
      <c r="CO54" s="87">
        <v>1.0</v>
      </c>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0"/>
      <c r="FA54" s="30"/>
      <c r="FB54" s="30"/>
      <c r="FC54" s="30"/>
      <c r="FD54" s="30"/>
      <c r="FE54" s="30"/>
      <c r="FF54" s="30"/>
      <c r="FG54" s="30"/>
      <c r="FH54" s="30"/>
      <c r="FI54" s="30"/>
      <c r="FJ54" s="30"/>
      <c r="FK54" s="30"/>
      <c r="FL54" s="30"/>
      <c r="FM54" s="30"/>
      <c r="FN54" s="30"/>
      <c r="FO54" s="30"/>
      <c r="FP54" s="30"/>
      <c r="FQ54" s="30"/>
      <c r="FR54" s="30"/>
      <c r="FS54" s="30"/>
      <c r="FT54" s="30"/>
      <c r="FU54" s="30"/>
      <c r="FV54" s="30"/>
      <c r="FW54" s="30"/>
      <c r="FX54" s="30"/>
      <c r="FY54" s="30"/>
      <c r="FZ54" s="30"/>
      <c r="GA54" s="30"/>
      <c r="GB54" s="30"/>
      <c r="GC54" s="30"/>
      <c r="GD54" s="30"/>
      <c r="GE54" s="30"/>
      <c r="GF54" s="30"/>
      <c r="GG54" s="30"/>
      <c r="GH54" s="30"/>
      <c r="GI54" s="30"/>
      <c r="GJ54" s="30"/>
      <c r="GK54" s="30"/>
      <c r="GL54" s="30"/>
      <c r="GM54" s="30"/>
      <c r="GN54" s="30"/>
      <c r="GO54" s="30"/>
      <c r="GP54" s="30"/>
      <c r="GQ54" s="30"/>
      <c r="GR54" s="30"/>
      <c r="GS54" s="30"/>
      <c r="GT54" s="30"/>
      <c r="GU54" s="30"/>
      <c r="GV54" s="30"/>
      <c r="GW54" s="30"/>
      <c r="GX54" s="30"/>
      <c r="GY54" s="30"/>
      <c r="GZ54" s="30"/>
      <c r="HA54" s="30"/>
      <c r="HB54" s="30"/>
      <c r="HC54" s="30"/>
      <c r="HD54" s="30"/>
      <c r="HE54" s="30"/>
    </row>
    <row r="55">
      <c r="A55" s="9" t="s">
        <v>104</v>
      </c>
      <c r="B55" s="118">
        <f t="shared" si="8"/>
        <v>0.01327433628</v>
      </c>
      <c r="C55" s="111">
        <f t="shared" si="9"/>
        <v>3</v>
      </c>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87">
        <v>1.0</v>
      </c>
      <c r="CH55" s="30"/>
      <c r="CI55" s="87">
        <v>2.0</v>
      </c>
      <c r="CJ55" s="30"/>
      <c r="CK55" s="30"/>
      <c r="CL55" s="30"/>
      <c r="CM55" s="87">
        <v>4.0</v>
      </c>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0"/>
      <c r="FA55" s="30"/>
      <c r="FB55" s="30"/>
      <c r="FC55" s="30"/>
      <c r="FD55" s="30"/>
      <c r="FE55" s="30"/>
      <c r="FF55" s="30"/>
      <c r="FG55" s="30"/>
      <c r="FH55" s="30"/>
      <c r="FI55" s="30"/>
      <c r="FJ55" s="30"/>
      <c r="FK55" s="30"/>
      <c r="FL55" s="30"/>
      <c r="FM55" s="30"/>
      <c r="FN55" s="30"/>
      <c r="FO55" s="30"/>
      <c r="FP55" s="30"/>
      <c r="FQ55" s="30"/>
      <c r="FR55" s="30"/>
      <c r="FS55" s="30"/>
      <c r="FT55" s="30"/>
      <c r="FU55" s="30"/>
      <c r="FV55" s="30"/>
      <c r="FW55" s="30"/>
      <c r="FX55" s="30"/>
      <c r="FY55" s="30"/>
      <c r="FZ55" s="30"/>
      <c r="GA55" s="30"/>
      <c r="GB55" s="30"/>
      <c r="GC55" s="30"/>
      <c r="GD55" s="30"/>
      <c r="GE55" s="30"/>
      <c r="GF55" s="30"/>
      <c r="GG55" s="30"/>
      <c r="GH55" s="30"/>
      <c r="GI55" s="30"/>
      <c r="GJ55" s="30"/>
      <c r="GK55" s="30"/>
      <c r="GL55" s="30"/>
      <c r="GM55" s="30"/>
      <c r="GN55" s="30"/>
      <c r="GO55" s="30"/>
      <c r="GP55" s="30"/>
      <c r="GQ55" s="30"/>
      <c r="GR55" s="30"/>
      <c r="GS55" s="30"/>
      <c r="GT55" s="30"/>
      <c r="GU55" s="30"/>
      <c r="GV55" s="30"/>
      <c r="GW55" s="30"/>
      <c r="GX55" s="30"/>
      <c r="GY55" s="30"/>
      <c r="GZ55" s="30"/>
      <c r="HA55" s="30"/>
      <c r="HB55" s="30"/>
      <c r="HC55" s="30"/>
      <c r="HD55" s="30"/>
      <c r="HE55" s="30"/>
    </row>
    <row r="56">
      <c r="A56" s="91" t="s">
        <v>125</v>
      </c>
      <c r="B56" s="118">
        <f t="shared" si="8"/>
        <v>0.01327433628</v>
      </c>
      <c r="C56" s="111">
        <f t="shared" si="9"/>
        <v>3</v>
      </c>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87">
        <v>1.0</v>
      </c>
      <c r="BR56" s="30"/>
      <c r="BS56" s="30"/>
      <c r="BT56" s="30"/>
      <c r="BU56" s="30"/>
      <c r="BV56" s="30"/>
      <c r="BW56" s="30"/>
      <c r="BX56" s="87">
        <v>1.0</v>
      </c>
      <c r="BY56" s="30"/>
      <c r="BZ56" s="30"/>
      <c r="CA56" s="30"/>
      <c r="CB56" s="30"/>
      <c r="CC56" s="30"/>
      <c r="CD56" s="30"/>
      <c r="CE56" s="87">
        <v>3.0</v>
      </c>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30"/>
      <c r="EO56" s="30"/>
      <c r="EP56" s="30"/>
      <c r="EQ56" s="30"/>
      <c r="ER56" s="30"/>
      <c r="ES56" s="30"/>
      <c r="ET56" s="30"/>
      <c r="EU56" s="30"/>
      <c r="EV56" s="30"/>
      <c r="EW56" s="30"/>
      <c r="EX56" s="30"/>
      <c r="EY56" s="30"/>
      <c r="EZ56" s="30"/>
      <c r="FA56" s="30"/>
      <c r="FB56" s="30"/>
      <c r="FC56" s="30"/>
      <c r="FD56" s="30"/>
      <c r="FE56" s="30"/>
      <c r="FF56" s="30"/>
      <c r="FG56" s="30"/>
      <c r="FH56" s="30"/>
      <c r="FI56" s="30"/>
      <c r="FJ56" s="30"/>
      <c r="FK56" s="30"/>
      <c r="FL56" s="30"/>
      <c r="FM56" s="30"/>
      <c r="FN56" s="30"/>
      <c r="FO56" s="30"/>
      <c r="FP56" s="30"/>
      <c r="FQ56" s="30"/>
      <c r="FR56" s="30"/>
      <c r="FS56" s="30"/>
      <c r="FT56" s="30"/>
      <c r="FU56" s="30"/>
      <c r="FV56" s="30"/>
      <c r="FW56" s="30"/>
      <c r="FX56" s="30"/>
      <c r="FY56" s="30"/>
      <c r="FZ56" s="30"/>
      <c r="GA56" s="30"/>
      <c r="GB56" s="30"/>
      <c r="GC56" s="30"/>
      <c r="GD56" s="30"/>
      <c r="GE56" s="30"/>
      <c r="GF56" s="30"/>
      <c r="GG56" s="30"/>
      <c r="GH56" s="30"/>
      <c r="GI56" s="30"/>
      <c r="GJ56" s="30"/>
      <c r="GK56" s="30"/>
      <c r="GL56" s="30"/>
      <c r="GM56" s="30"/>
      <c r="GN56" s="30"/>
      <c r="GO56" s="30"/>
      <c r="GP56" s="30"/>
      <c r="GQ56" s="30"/>
      <c r="GR56" s="30"/>
      <c r="GS56" s="30"/>
      <c r="GT56" s="30"/>
      <c r="GU56" s="30"/>
      <c r="GV56" s="30"/>
      <c r="GW56" s="30"/>
      <c r="GX56" s="30"/>
      <c r="GY56" s="30"/>
      <c r="GZ56" s="30"/>
      <c r="HA56" s="30"/>
      <c r="HB56" s="30"/>
      <c r="HC56" s="30"/>
      <c r="HD56" s="30"/>
      <c r="HE56" s="30"/>
    </row>
    <row r="57">
      <c r="A57" s="9" t="s">
        <v>84</v>
      </c>
      <c r="B57" s="118">
        <f t="shared" si="8"/>
        <v>0.01327433628</v>
      </c>
      <c r="C57" s="111">
        <f t="shared" si="9"/>
        <v>3</v>
      </c>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87">
        <v>3.0</v>
      </c>
      <c r="BS57" s="30"/>
      <c r="BT57" s="30"/>
      <c r="BU57" s="30"/>
      <c r="BV57" s="30"/>
      <c r="BW57" s="30"/>
      <c r="BX57" s="30"/>
      <c r="BY57" s="30"/>
      <c r="BZ57" s="30"/>
      <c r="CA57" s="30"/>
      <c r="CB57" s="30"/>
      <c r="CC57" s="30"/>
      <c r="CD57" s="87">
        <v>3.0</v>
      </c>
      <c r="CE57" s="30"/>
      <c r="CF57" s="87">
        <v>1.0</v>
      </c>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30"/>
      <c r="EO57" s="30"/>
      <c r="EP57" s="30"/>
      <c r="EQ57" s="30"/>
      <c r="ER57" s="30"/>
      <c r="ES57" s="30"/>
      <c r="ET57" s="30"/>
      <c r="EU57" s="30"/>
      <c r="EV57" s="30"/>
      <c r="EW57" s="30"/>
      <c r="EX57" s="30"/>
      <c r="EY57" s="30"/>
      <c r="EZ57" s="30"/>
      <c r="FA57" s="30"/>
      <c r="FB57" s="30"/>
      <c r="FC57" s="30"/>
      <c r="FD57" s="30"/>
      <c r="FE57" s="30"/>
      <c r="FF57" s="30"/>
      <c r="FG57" s="30"/>
      <c r="FH57" s="30"/>
      <c r="FI57" s="30"/>
      <c r="FJ57" s="30"/>
      <c r="FK57" s="30"/>
      <c r="FL57" s="30"/>
      <c r="FM57" s="30"/>
      <c r="FN57" s="30"/>
      <c r="FO57" s="30"/>
      <c r="FP57" s="30"/>
      <c r="FQ57" s="30"/>
      <c r="FR57" s="30"/>
      <c r="FS57" s="30"/>
      <c r="FT57" s="30"/>
      <c r="FU57" s="30"/>
      <c r="FV57" s="30"/>
      <c r="FW57" s="30"/>
      <c r="FX57" s="30"/>
      <c r="FY57" s="30"/>
      <c r="FZ57" s="30"/>
      <c r="GA57" s="30"/>
      <c r="GB57" s="30"/>
      <c r="GC57" s="30"/>
      <c r="GD57" s="30"/>
      <c r="GE57" s="30"/>
      <c r="GF57" s="30"/>
      <c r="GG57" s="30"/>
      <c r="GH57" s="30"/>
      <c r="GI57" s="30"/>
      <c r="GJ57" s="30"/>
      <c r="GK57" s="30"/>
      <c r="GL57" s="30"/>
      <c r="GM57" s="30"/>
      <c r="GN57" s="30"/>
      <c r="GO57" s="30"/>
      <c r="GP57" s="30"/>
      <c r="GQ57" s="30"/>
      <c r="GR57" s="30"/>
      <c r="GS57" s="30"/>
      <c r="GT57" s="30"/>
      <c r="GU57" s="30"/>
      <c r="GV57" s="30"/>
      <c r="GW57" s="30"/>
      <c r="GX57" s="30"/>
      <c r="GY57" s="30"/>
      <c r="GZ57" s="30"/>
      <c r="HA57" s="30"/>
      <c r="HB57" s="30"/>
      <c r="HC57" s="30"/>
      <c r="HD57" s="30"/>
      <c r="HE57" s="30"/>
    </row>
    <row r="58">
      <c r="A58" s="9" t="s">
        <v>105</v>
      </c>
      <c r="B58" s="118">
        <f t="shared" si="8"/>
        <v>0.008849557522</v>
      </c>
      <c r="C58" s="111">
        <f t="shared" si="9"/>
        <v>2</v>
      </c>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87" t="s">
        <v>333</v>
      </c>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87">
        <v>2.0</v>
      </c>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30"/>
      <c r="EO58" s="30"/>
      <c r="EP58" s="30"/>
      <c r="EQ58" s="30"/>
      <c r="ER58" s="30"/>
      <c r="ES58" s="30"/>
      <c r="ET58" s="30"/>
      <c r="EU58" s="30"/>
      <c r="EV58" s="30"/>
      <c r="EW58" s="30"/>
      <c r="EX58" s="30"/>
      <c r="EY58" s="30"/>
      <c r="EZ58" s="30"/>
      <c r="FA58" s="30"/>
      <c r="FB58" s="30"/>
      <c r="FC58" s="30"/>
      <c r="FD58" s="30"/>
      <c r="FE58" s="30"/>
      <c r="FF58" s="30"/>
      <c r="FG58" s="30"/>
      <c r="FH58" s="30"/>
      <c r="FI58" s="30"/>
      <c r="FJ58" s="30"/>
      <c r="FK58" s="30"/>
      <c r="FL58" s="30"/>
      <c r="FM58" s="30"/>
      <c r="FN58" s="30"/>
      <c r="FO58" s="30"/>
      <c r="FP58" s="30"/>
      <c r="FQ58" s="30"/>
      <c r="FR58" s="30"/>
      <c r="FS58" s="30"/>
      <c r="FT58" s="30"/>
      <c r="FU58" s="30"/>
      <c r="FV58" s="30"/>
      <c r="FW58" s="30"/>
      <c r="FX58" s="30"/>
      <c r="FY58" s="30"/>
      <c r="FZ58" s="30"/>
      <c r="GA58" s="30"/>
      <c r="GB58" s="30"/>
      <c r="GC58" s="30"/>
      <c r="GD58" s="30"/>
      <c r="GE58" s="30"/>
      <c r="GF58" s="30"/>
      <c r="GG58" s="30"/>
      <c r="GH58" s="30"/>
      <c r="GI58" s="30"/>
      <c r="GJ58" s="30"/>
      <c r="GK58" s="30"/>
      <c r="GL58" s="30"/>
      <c r="GM58" s="30"/>
      <c r="GN58" s="30"/>
      <c r="GO58" s="30"/>
      <c r="GP58" s="30"/>
      <c r="GQ58" s="30"/>
      <c r="GR58" s="30"/>
      <c r="GS58" s="30"/>
      <c r="GT58" s="30"/>
      <c r="GU58" s="30"/>
      <c r="GV58" s="30"/>
      <c r="GW58" s="30"/>
      <c r="GX58" s="30"/>
      <c r="GY58" s="30"/>
      <c r="GZ58" s="30"/>
      <c r="HA58" s="30"/>
      <c r="HB58" s="30"/>
      <c r="HC58" s="30"/>
      <c r="HD58" s="30"/>
      <c r="HE58" s="30"/>
    </row>
    <row r="59">
      <c r="A59" s="9" t="s">
        <v>126</v>
      </c>
      <c r="B59" s="118">
        <f t="shared" si="8"/>
        <v>0.01327433628</v>
      </c>
      <c r="C59" s="111">
        <f t="shared" si="9"/>
        <v>3</v>
      </c>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87">
        <v>3.0</v>
      </c>
      <c r="BH59" s="30"/>
      <c r="BI59" s="30"/>
      <c r="BJ59" s="30"/>
      <c r="BK59" s="87">
        <v>1.0</v>
      </c>
      <c r="BL59" s="30"/>
      <c r="BM59" s="30"/>
      <c r="BN59" s="30"/>
      <c r="BO59" s="30"/>
      <c r="BP59" s="87">
        <v>2.0</v>
      </c>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c r="FH59" s="30"/>
      <c r="FI59" s="30"/>
      <c r="FJ59" s="30"/>
      <c r="FK59" s="30"/>
      <c r="FL59" s="30"/>
      <c r="FM59" s="30"/>
      <c r="FN59" s="30"/>
      <c r="FO59" s="30"/>
      <c r="FP59" s="30"/>
      <c r="FQ59" s="30"/>
      <c r="FR59" s="30"/>
      <c r="FS59" s="30"/>
      <c r="FT59" s="30"/>
      <c r="FU59" s="30"/>
      <c r="FV59" s="30"/>
      <c r="FW59" s="30"/>
      <c r="FX59" s="30"/>
      <c r="FY59" s="30"/>
      <c r="FZ59" s="30"/>
      <c r="GA59" s="30"/>
      <c r="GB59" s="30"/>
      <c r="GC59" s="30"/>
      <c r="GD59" s="30"/>
      <c r="GE59" s="30"/>
      <c r="GF59" s="30"/>
      <c r="GG59" s="30"/>
      <c r="GH59" s="30"/>
      <c r="GI59" s="30"/>
      <c r="GJ59" s="30"/>
      <c r="GK59" s="30"/>
      <c r="GL59" s="30"/>
      <c r="GM59" s="30"/>
      <c r="GN59" s="30"/>
      <c r="GO59" s="30"/>
      <c r="GP59" s="30"/>
      <c r="GQ59" s="30"/>
      <c r="GR59" s="30"/>
      <c r="GS59" s="30"/>
      <c r="GT59" s="30"/>
      <c r="GU59" s="30"/>
      <c r="GV59" s="30"/>
      <c r="GW59" s="30"/>
      <c r="GX59" s="30"/>
      <c r="GY59" s="30"/>
      <c r="GZ59" s="30"/>
      <c r="HA59" s="30"/>
      <c r="HB59" s="30"/>
      <c r="HC59" s="30"/>
      <c r="HD59" s="30"/>
      <c r="HE59" s="30"/>
    </row>
    <row r="60">
      <c r="A60" s="9" t="s">
        <v>85</v>
      </c>
      <c r="B60" s="118">
        <f t="shared" si="8"/>
        <v>0.01769911504</v>
      </c>
      <c r="C60" s="111">
        <f t="shared" si="9"/>
        <v>4</v>
      </c>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87">
        <v>3.0</v>
      </c>
      <c r="BR60" s="30"/>
      <c r="BS60" s="30"/>
      <c r="BT60" s="30"/>
      <c r="BU60" s="30"/>
      <c r="BV60" s="87">
        <v>1.0</v>
      </c>
      <c r="BW60" s="30"/>
      <c r="BX60" s="30"/>
      <c r="BY60" s="87">
        <v>2.0</v>
      </c>
      <c r="BZ60" s="30"/>
      <c r="CA60" s="30"/>
      <c r="CB60" s="30"/>
      <c r="CC60" s="30"/>
      <c r="CD60" s="30"/>
      <c r="CE60" s="30"/>
      <c r="CF60" s="30"/>
      <c r="CG60" s="30"/>
      <c r="CH60" s="30"/>
      <c r="CI60" s="30"/>
      <c r="CJ60" s="30"/>
      <c r="CK60" s="30"/>
      <c r="CL60" s="30"/>
      <c r="CM60" s="30"/>
      <c r="CN60" s="30"/>
      <c r="CO60" s="87">
        <v>1.0</v>
      </c>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c r="FH60" s="30"/>
      <c r="FI60" s="30"/>
      <c r="FJ60" s="30"/>
      <c r="FK60" s="30"/>
      <c r="FL60" s="30"/>
      <c r="FM60" s="30"/>
      <c r="FN60" s="30"/>
      <c r="FO60" s="30"/>
      <c r="FP60" s="30"/>
      <c r="FQ60" s="30"/>
      <c r="FR60" s="30"/>
      <c r="FS60" s="30"/>
      <c r="FT60" s="30"/>
      <c r="FU60" s="30"/>
      <c r="FV60" s="30"/>
      <c r="FW60" s="30"/>
      <c r="FX60" s="30"/>
      <c r="FY60" s="30"/>
      <c r="FZ60" s="30"/>
      <c r="GA60" s="30"/>
      <c r="GB60" s="30"/>
      <c r="GC60" s="30"/>
      <c r="GD60" s="30"/>
      <c r="GE60" s="30"/>
      <c r="GF60" s="30"/>
      <c r="GG60" s="30"/>
      <c r="GH60" s="30"/>
      <c r="GI60" s="30"/>
      <c r="GJ60" s="30"/>
      <c r="GK60" s="30"/>
      <c r="GL60" s="30"/>
      <c r="GM60" s="30"/>
      <c r="GN60" s="30"/>
      <c r="GO60" s="30"/>
      <c r="GP60" s="30"/>
      <c r="GQ60" s="30"/>
      <c r="GR60" s="30"/>
      <c r="GS60" s="30"/>
      <c r="GT60" s="30"/>
      <c r="GU60" s="30"/>
      <c r="GV60" s="30"/>
      <c r="GW60" s="30"/>
      <c r="GX60" s="30"/>
      <c r="GY60" s="30"/>
      <c r="GZ60" s="30"/>
      <c r="HA60" s="30"/>
      <c r="HB60" s="30"/>
      <c r="HC60" s="30"/>
      <c r="HD60" s="30"/>
      <c r="HE60" s="30"/>
    </row>
    <row r="61">
      <c r="A61" s="9" t="s">
        <v>106</v>
      </c>
      <c r="B61" s="118">
        <f t="shared" si="8"/>
        <v>0.004424778761</v>
      </c>
      <c r="C61" s="111">
        <f t="shared" si="9"/>
        <v>1</v>
      </c>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87">
        <v>1.0</v>
      </c>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30"/>
      <c r="EO61" s="30"/>
      <c r="EP61" s="30"/>
      <c r="EQ61" s="30"/>
      <c r="ER61" s="30"/>
      <c r="ES61" s="30"/>
      <c r="ET61" s="30"/>
      <c r="EU61" s="30"/>
      <c r="EV61" s="30"/>
      <c r="EW61" s="30"/>
      <c r="EX61" s="30"/>
      <c r="EY61" s="30"/>
      <c r="EZ61" s="30"/>
      <c r="FA61" s="30"/>
      <c r="FB61" s="30"/>
      <c r="FC61" s="30"/>
      <c r="FD61" s="30"/>
      <c r="FE61" s="30"/>
      <c r="FF61" s="30"/>
      <c r="FG61" s="30"/>
      <c r="FH61" s="30"/>
      <c r="FI61" s="30"/>
      <c r="FJ61" s="30"/>
      <c r="FK61" s="30"/>
      <c r="FL61" s="30"/>
      <c r="FM61" s="30"/>
      <c r="FN61" s="30"/>
      <c r="FO61" s="30"/>
      <c r="FP61" s="30"/>
      <c r="FQ61" s="30"/>
      <c r="FR61" s="30"/>
      <c r="FS61" s="30"/>
      <c r="FT61" s="30"/>
      <c r="FU61" s="30"/>
      <c r="FV61" s="30"/>
      <c r="FW61" s="30"/>
      <c r="FX61" s="30"/>
      <c r="FY61" s="30"/>
      <c r="FZ61" s="30"/>
      <c r="GA61" s="30"/>
      <c r="GB61" s="30"/>
      <c r="GC61" s="30"/>
      <c r="GD61" s="30"/>
      <c r="GE61" s="30"/>
      <c r="GF61" s="30"/>
      <c r="GG61" s="30"/>
      <c r="GH61" s="30"/>
      <c r="GI61" s="30"/>
      <c r="GJ61" s="30"/>
      <c r="GK61" s="30"/>
      <c r="GL61" s="30"/>
      <c r="GM61" s="30"/>
      <c r="GN61" s="30"/>
      <c r="GO61" s="30"/>
      <c r="GP61" s="30"/>
      <c r="GQ61" s="30"/>
      <c r="GR61" s="30"/>
      <c r="GS61" s="30"/>
      <c r="GT61" s="30"/>
      <c r="GU61" s="30"/>
      <c r="GV61" s="30"/>
      <c r="GW61" s="30"/>
      <c r="GX61" s="30"/>
      <c r="GY61" s="30"/>
      <c r="GZ61" s="30"/>
      <c r="HA61" s="30"/>
      <c r="HB61" s="30"/>
      <c r="HC61" s="30"/>
      <c r="HD61" s="30"/>
      <c r="HE61" s="30"/>
    </row>
    <row r="62">
      <c r="A62" s="91" t="s">
        <v>127</v>
      </c>
      <c r="B62" s="118">
        <f t="shared" si="8"/>
        <v>0.02654867257</v>
      </c>
      <c r="C62" s="111">
        <f t="shared" si="9"/>
        <v>6</v>
      </c>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87">
        <v>1.0</v>
      </c>
      <c r="BB62" s="30"/>
      <c r="BC62" s="30"/>
      <c r="BD62" s="30"/>
      <c r="BE62" s="30"/>
      <c r="BF62" s="30"/>
      <c r="BG62" s="30"/>
      <c r="BH62" s="87">
        <v>1.0</v>
      </c>
      <c r="BI62" s="30"/>
      <c r="BJ62" s="30"/>
      <c r="BK62" s="30"/>
      <c r="BL62" s="30"/>
      <c r="BM62" s="30"/>
      <c r="BN62" s="30"/>
      <c r="BO62" s="30"/>
      <c r="BP62" s="30"/>
      <c r="BQ62" s="30"/>
      <c r="BR62" s="87">
        <v>1.0</v>
      </c>
      <c r="BS62" s="30"/>
      <c r="BT62" s="30"/>
      <c r="BU62" s="30"/>
      <c r="BV62" s="30"/>
      <c r="BW62" s="87">
        <v>1.0</v>
      </c>
      <c r="BX62" s="87">
        <v>3.0</v>
      </c>
      <c r="BY62" s="87">
        <v>1.0</v>
      </c>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30"/>
      <c r="EU62" s="30"/>
      <c r="EV62" s="30"/>
      <c r="EW62" s="30"/>
      <c r="EX62" s="30"/>
      <c r="EY62" s="30"/>
      <c r="EZ62" s="30"/>
      <c r="FA62" s="30"/>
      <c r="FB62" s="30"/>
      <c r="FC62" s="30"/>
      <c r="FD62" s="30"/>
      <c r="FE62" s="30"/>
      <c r="FF62" s="30"/>
      <c r="FG62" s="30"/>
      <c r="FH62" s="30"/>
      <c r="FI62" s="30"/>
      <c r="FJ62" s="30"/>
      <c r="FK62" s="30"/>
      <c r="FL62" s="30"/>
      <c r="FM62" s="30"/>
      <c r="FN62" s="30"/>
      <c r="FO62" s="30"/>
      <c r="FP62" s="30"/>
      <c r="FQ62" s="30"/>
      <c r="FR62" s="30"/>
      <c r="FS62" s="30"/>
      <c r="FT62" s="30"/>
      <c r="FU62" s="30"/>
      <c r="FV62" s="30"/>
      <c r="FW62" s="30"/>
      <c r="FX62" s="30"/>
      <c r="FY62" s="30"/>
      <c r="FZ62" s="30"/>
      <c r="GA62" s="30"/>
      <c r="GB62" s="30"/>
      <c r="GC62" s="30"/>
      <c r="GD62" s="30"/>
      <c r="GE62" s="30"/>
      <c r="GF62" s="30"/>
      <c r="GG62" s="30"/>
      <c r="GH62" s="30"/>
      <c r="GI62" s="30"/>
      <c r="GJ62" s="30"/>
      <c r="GK62" s="30"/>
      <c r="GL62" s="30"/>
      <c r="GM62" s="30"/>
      <c r="GN62" s="30"/>
      <c r="GO62" s="30"/>
      <c r="GP62" s="30"/>
      <c r="GQ62" s="30"/>
      <c r="GR62" s="30"/>
      <c r="GS62" s="30"/>
      <c r="GT62" s="30"/>
      <c r="GU62" s="30"/>
      <c r="GV62" s="30"/>
      <c r="GW62" s="30"/>
      <c r="GX62" s="30"/>
      <c r="GY62" s="30"/>
      <c r="GZ62" s="30"/>
      <c r="HA62" s="30"/>
      <c r="HB62" s="30"/>
      <c r="HC62" s="30"/>
      <c r="HD62" s="30"/>
      <c r="HE62" s="30"/>
    </row>
    <row r="63">
      <c r="A63" s="9" t="s">
        <v>86</v>
      </c>
      <c r="B63" s="118">
        <f t="shared" si="8"/>
        <v>0.01769911504</v>
      </c>
      <c r="C63" s="111">
        <f t="shared" si="9"/>
        <v>4</v>
      </c>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87">
        <v>1.0</v>
      </c>
      <c r="BC63" s="87">
        <v>2.0</v>
      </c>
      <c r="BD63" s="30"/>
      <c r="BE63" s="30"/>
      <c r="BF63" s="30"/>
      <c r="BG63" s="30"/>
      <c r="BH63" s="30"/>
      <c r="BI63" s="30"/>
      <c r="BJ63" s="87">
        <v>1.0</v>
      </c>
      <c r="BK63" s="30"/>
      <c r="BL63" s="30"/>
      <c r="BM63" s="30"/>
      <c r="BN63" s="30"/>
      <c r="BO63" s="30"/>
      <c r="BP63" s="30"/>
      <c r="BQ63" s="30"/>
      <c r="BR63" s="30"/>
      <c r="BS63" s="30"/>
      <c r="BT63" s="30"/>
      <c r="BU63" s="30"/>
      <c r="BV63" s="30"/>
      <c r="BW63" s="30"/>
      <c r="BX63" s="30"/>
      <c r="BY63" s="30"/>
      <c r="BZ63" s="30"/>
      <c r="CA63" s="30"/>
      <c r="CB63" s="30"/>
      <c r="CC63" s="30"/>
      <c r="CD63" s="30"/>
      <c r="CE63" s="30"/>
      <c r="CF63" s="30"/>
      <c r="CG63" s="87">
        <v>2.0</v>
      </c>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30"/>
      <c r="EO63" s="30"/>
      <c r="EP63" s="30"/>
      <c r="EQ63" s="30"/>
      <c r="ER63" s="30"/>
      <c r="ES63" s="30"/>
      <c r="ET63" s="30"/>
      <c r="EU63" s="30"/>
      <c r="EV63" s="30"/>
      <c r="EW63" s="30"/>
      <c r="EX63" s="30"/>
      <c r="EY63" s="30"/>
      <c r="EZ63" s="30"/>
      <c r="FA63" s="30"/>
      <c r="FB63" s="30"/>
      <c r="FC63" s="30"/>
      <c r="FD63" s="30"/>
      <c r="FE63" s="30"/>
      <c r="FF63" s="30"/>
      <c r="FG63" s="30"/>
      <c r="FH63" s="30"/>
      <c r="FI63" s="30"/>
      <c r="FJ63" s="30"/>
      <c r="FK63" s="30"/>
      <c r="FL63" s="30"/>
      <c r="FM63" s="30"/>
      <c r="FN63" s="30"/>
      <c r="FO63" s="30"/>
      <c r="FP63" s="30"/>
      <c r="FQ63" s="30"/>
      <c r="FR63" s="30"/>
      <c r="FS63" s="30"/>
      <c r="FT63" s="30"/>
      <c r="FU63" s="30"/>
      <c r="FV63" s="30"/>
      <c r="FW63" s="30"/>
      <c r="FX63" s="30"/>
      <c r="FY63" s="30"/>
      <c r="FZ63" s="30"/>
      <c r="GA63" s="30"/>
      <c r="GB63" s="30"/>
      <c r="GC63" s="30"/>
      <c r="GD63" s="30"/>
      <c r="GE63" s="30"/>
      <c r="GF63" s="30"/>
      <c r="GG63" s="30"/>
      <c r="GH63" s="30"/>
      <c r="GI63" s="30"/>
      <c r="GJ63" s="30"/>
      <c r="GK63" s="30"/>
      <c r="GL63" s="30"/>
      <c r="GM63" s="30"/>
      <c r="GN63" s="30"/>
      <c r="GO63" s="30"/>
      <c r="GP63" s="30"/>
      <c r="GQ63" s="30"/>
      <c r="GR63" s="30"/>
      <c r="GS63" s="30"/>
      <c r="GT63" s="30"/>
      <c r="GU63" s="30"/>
      <c r="GV63" s="30"/>
      <c r="GW63" s="30"/>
      <c r="GX63" s="30"/>
      <c r="GY63" s="30"/>
      <c r="GZ63" s="30"/>
      <c r="HA63" s="30"/>
      <c r="HB63" s="30"/>
      <c r="HC63" s="30"/>
      <c r="HD63" s="30"/>
      <c r="HE63" s="30"/>
    </row>
    <row r="64">
      <c r="A64" s="9" t="s">
        <v>107</v>
      </c>
      <c r="B64" s="118">
        <f t="shared" si="8"/>
        <v>0.03539823009</v>
      </c>
      <c r="C64" s="111">
        <f t="shared" si="9"/>
        <v>8</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87">
        <v>3.0</v>
      </c>
      <c r="BK64" s="30"/>
      <c r="BL64" s="30"/>
      <c r="BM64" s="30"/>
      <c r="BN64" s="30"/>
      <c r="BO64" s="87">
        <v>1.0</v>
      </c>
      <c r="BP64" s="30"/>
      <c r="BQ64" s="30"/>
      <c r="BR64" s="87" t="s">
        <v>334</v>
      </c>
      <c r="BS64" s="30"/>
      <c r="BT64" s="30"/>
      <c r="BU64" s="87">
        <v>1.0</v>
      </c>
      <c r="BV64" s="30"/>
      <c r="BW64" s="30"/>
      <c r="BX64" s="30"/>
      <c r="BY64" s="30"/>
      <c r="BZ64" s="30"/>
      <c r="CA64" s="87">
        <v>1.0</v>
      </c>
      <c r="CB64" s="30"/>
      <c r="CC64" s="30"/>
      <c r="CD64" s="30"/>
      <c r="CE64" s="30"/>
      <c r="CF64" s="30"/>
      <c r="CG64" s="87">
        <v>1.0</v>
      </c>
      <c r="CH64" s="30"/>
      <c r="CI64" s="30"/>
      <c r="CJ64" s="30"/>
      <c r="CK64" s="30"/>
      <c r="CL64" s="30"/>
      <c r="CM64" s="30"/>
      <c r="CN64" s="87">
        <v>1.0</v>
      </c>
      <c r="CO64" s="30"/>
      <c r="CP64" s="30"/>
      <c r="CQ64" s="87">
        <v>3.0</v>
      </c>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30"/>
      <c r="EO64" s="30"/>
      <c r="EP64" s="30"/>
      <c r="EQ64" s="30"/>
      <c r="ER64" s="30"/>
      <c r="ES64" s="30"/>
      <c r="ET64" s="30"/>
      <c r="EU64" s="30"/>
      <c r="EV64" s="30"/>
      <c r="EW64" s="30"/>
      <c r="EX64" s="30"/>
      <c r="EY64" s="30"/>
      <c r="EZ64" s="30"/>
      <c r="FA64" s="30"/>
      <c r="FB64" s="30"/>
      <c r="FC64" s="30"/>
      <c r="FD64" s="30"/>
      <c r="FE64" s="30"/>
      <c r="FF64" s="30"/>
      <c r="FG64" s="30"/>
      <c r="FH64" s="30"/>
      <c r="FI64" s="30"/>
      <c r="FJ64" s="30"/>
      <c r="FK64" s="30"/>
      <c r="FL64" s="30"/>
      <c r="FM64" s="30"/>
      <c r="FN64" s="30"/>
      <c r="FO64" s="30"/>
      <c r="FP64" s="30"/>
      <c r="FQ64" s="30"/>
      <c r="FR64" s="30"/>
      <c r="FS64" s="30"/>
      <c r="FT64" s="30"/>
      <c r="FU64" s="30"/>
      <c r="FV64" s="30"/>
      <c r="FW64" s="30"/>
      <c r="FX64" s="30"/>
      <c r="FY64" s="30"/>
      <c r="FZ64" s="30"/>
      <c r="GA64" s="30"/>
      <c r="GB64" s="30"/>
      <c r="GC64" s="30"/>
      <c r="GD64" s="30"/>
      <c r="GE64" s="30"/>
      <c r="GF64" s="30"/>
      <c r="GG64" s="30"/>
      <c r="GH64" s="30"/>
      <c r="GI64" s="30"/>
      <c r="GJ64" s="30"/>
      <c r="GK64" s="30"/>
      <c r="GL64" s="30"/>
      <c r="GM64" s="30"/>
      <c r="GN64" s="30"/>
      <c r="GO64" s="30"/>
      <c r="GP64" s="30"/>
      <c r="GQ64" s="30"/>
      <c r="GR64" s="30"/>
      <c r="GS64" s="30"/>
      <c r="GT64" s="30"/>
      <c r="GU64" s="30"/>
      <c r="GV64" s="30"/>
      <c r="GW64" s="30"/>
      <c r="GX64" s="30"/>
      <c r="GY64" s="30"/>
      <c r="GZ64" s="30"/>
      <c r="HA64" s="30"/>
      <c r="HB64" s="30"/>
      <c r="HC64" s="30"/>
      <c r="HD64" s="30"/>
      <c r="HE64" s="30"/>
    </row>
    <row r="65">
      <c r="A65" s="9" t="s">
        <v>129</v>
      </c>
      <c r="B65" s="118">
        <f t="shared" si="8"/>
        <v>0.01769911504</v>
      </c>
      <c r="C65" s="111">
        <f t="shared" si="9"/>
        <v>4</v>
      </c>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87">
        <v>1.0</v>
      </c>
      <c r="BH65" s="30"/>
      <c r="BI65" s="87">
        <v>3.0</v>
      </c>
      <c r="BJ65" s="30"/>
      <c r="BK65" s="30"/>
      <c r="BL65" s="30"/>
      <c r="BM65" s="30"/>
      <c r="BN65" s="30"/>
      <c r="BO65" s="30"/>
      <c r="BP65" s="30"/>
      <c r="BQ65" s="30"/>
      <c r="BR65" s="30"/>
      <c r="BS65" s="87">
        <v>2.0</v>
      </c>
      <c r="BT65" s="30"/>
      <c r="BU65" s="30"/>
      <c r="BV65" s="30"/>
      <c r="BW65" s="30"/>
      <c r="BX65" s="30"/>
      <c r="BY65" s="30"/>
      <c r="BZ65" s="30"/>
      <c r="CA65" s="30"/>
      <c r="CB65" s="30"/>
      <c r="CC65" s="30"/>
      <c r="CD65" s="87">
        <v>1.0</v>
      </c>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30"/>
      <c r="EO65" s="30"/>
      <c r="EP65" s="30"/>
      <c r="EQ65" s="30"/>
      <c r="ER65" s="30"/>
      <c r="ES65" s="30"/>
      <c r="ET65" s="30"/>
      <c r="EU65" s="30"/>
      <c r="EV65" s="30"/>
      <c r="EW65" s="30"/>
      <c r="EX65" s="30"/>
      <c r="EY65" s="30"/>
      <c r="EZ65" s="30"/>
      <c r="FA65" s="30"/>
      <c r="FB65" s="30"/>
      <c r="FC65" s="30"/>
      <c r="FD65" s="30"/>
      <c r="FE65" s="30"/>
      <c r="FF65" s="30"/>
      <c r="FG65" s="30"/>
      <c r="FH65" s="30"/>
      <c r="FI65" s="30"/>
      <c r="FJ65" s="30"/>
      <c r="FK65" s="30"/>
      <c r="FL65" s="30"/>
      <c r="FM65" s="30"/>
      <c r="FN65" s="30"/>
      <c r="FO65" s="30"/>
      <c r="FP65" s="30"/>
      <c r="FQ65" s="30"/>
      <c r="FR65" s="30"/>
      <c r="FS65" s="30"/>
      <c r="FT65" s="30"/>
      <c r="FU65" s="30"/>
      <c r="FV65" s="30"/>
      <c r="FW65" s="30"/>
      <c r="FX65" s="30"/>
      <c r="FY65" s="30"/>
      <c r="FZ65" s="30"/>
      <c r="GA65" s="30"/>
      <c r="GB65" s="30"/>
      <c r="GC65" s="30"/>
      <c r="GD65" s="30"/>
      <c r="GE65" s="30"/>
      <c r="GF65" s="30"/>
      <c r="GG65" s="30"/>
      <c r="GH65" s="30"/>
      <c r="GI65" s="30"/>
      <c r="GJ65" s="30"/>
      <c r="GK65" s="30"/>
      <c r="GL65" s="30"/>
      <c r="GM65" s="30"/>
      <c r="GN65" s="30"/>
      <c r="GO65" s="30"/>
      <c r="GP65" s="30"/>
      <c r="GQ65" s="30"/>
      <c r="GR65" s="30"/>
      <c r="GS65" s="30"/>
      <c r="GT65" s="30"/>
      <c r="GU65" s="30"/>
      <c r="GV65" s="30"/>
      <c r="GW65" s="30"/>
      <c r="GX65" s="30"/>
      <c r="GY65" s="30"/>
      <c r="GZ65" s="30"/>
      <c r="HA65" s="30"/>
      <c r="HB65" s="30"/>
      <c r="HC65" s="30"/>
      <c r="HD65" s="30"/>
      <c r="HE65" s="30"/>
    </row>
    <row r="66">
      <c r="A66" s="9" t="s">
        <v>87</v>
      </c>
      <c r="B66" s="118">
        <f t="shared" si="8"/>
        <v>0.004424778761</v>
      </c>
      <c r="C66" s="111">
        <f t="shared" si="9"/>
        <v>1</v>
      </c>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87">
        <v>1.0</v>
      </c>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c r="FH66" s="30"/>
      <c r="FI66" s="30"/>
      <c r="FJ66" s="30"/>
      <c r="FK66" s="30"/>
      <c r="FL66" s="30"/>
      <c r="FM66" s="30"/>
      <c r="FN66" s="30"/>
      <c r="FO66" s="30"/>
      <c r="FP66" s="30"/>
      <c r="FQ66" s="30"/>
      <c r="FR66" s="30"/>
      <c r="FS66" s="30"/>
      <c r="FT66" s="30"/>
      <c r="FU66" s="30"/>
      <c r="FV66" s="30"/>
      <c r="FW66" s="30"/>
      <c r="FX66" s="30"/>
      <c r="FY66" s="30"/>
      <c r="FZ66" s="30"/>
      <c r="GA66" s="30"/>
      <c r="GB66" s="30"/>
      <c r="GC66" s="30"/>
      <c r="GD66" s="30"/>
      <c r="GE66" s="30"/>
      <c r="GF66" s="30"/>
      <c r="GG66" s="30"/>
      <c r="GH66" s="30"/>
      <c r="GI66" s="30"/>
      <c r="GJ66" s="30"/>
      <c r="GK66" s="30"/>
      <c r="GL66" s="30"/>
      <c r="GM66" s="30"/>
      <c r="GN66" s="30"/>
      <c r="GO66" s="30"/>
      <c r="GP66" s="30"/>
      <c r="GQ66" s="30"/>
      <c r="GR66" s="30"/>
      <c r="GS66" s="30"/>
      <c r="GT66" s="30"/>
      <c r="GU66" s="30"/>
      <c r="GV66" s="30"/>
      <c r="GW66" s="30"/>
      <c r="GX66" s="30"/>
      <c r="GY66" s="30"/>
      <c r="GZ66" s="30"/>
      <c r="HA66" s="30"/>
      <c r="HB66" s="30"/>
      <c r="HC66" s="30"/>
      <c r="HD66" s="30"/>
      <c r="HE66" s="30"/>
    </row>
    <row r="67">
      <c r="A67" s="9" t="s">
        <v>108</v>
      </c>
      <c r="B67" s="118">
        <f t="shared" si="8"/>
        <v>0.01769911504</v>
      </c>
      <c r="C67" s="111">
        <f t="shared" si="9"/>
        <v>4</v>
      </c>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87">
        <v>2.0</v>
      </c>
      <c r="BB67" s="30"/>
      <c r="BC67" s="30"/>
      <c r="BD67" s="30"/>
      <c r="BE67" s="30"/>
      <c r="BF67" s="30"/>
      <c r="BG67" s="30"/>
      <c r="BH67" s="87">
        <v>2.0</v>
      </c>
      <c r="BI67" s="30"/>
      <c r="BJ67" s="87">
        <v>2.0</v>
      </c>
      <c r="BK67" s="87">
        <v>2.0</v>
      </c>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30"/>
      <c r="EO67" s="30"/>
      <c r="EP67" s="30"/>
      <c r="EQ67" s="30"/>
      <c r="ER67" s="30"/>
      <c r="ES67" s="30"/>
      <c r="ET67" s="30"/>
      <c r="EU67" s="30"/>
      <c r="EV67" s="30"/>
      <c r="EW67" s="30"/>
      <c r="EX67" s="30"/>
      <c r="EY67" s="30"/>
      <c r="EZ67" s="30"/>
      <c r="FA67" s="30"/>
      <c r="FB67" s="30"/>
      <c r="FC67" s="30"/>
      <c r="FD67" s="30"/>
      <c r="FE67" s="30"/>
      <c r="FF67" s="30"/>
      <c r="FG67" s="30"/>
      <c r="FH67" s="30"/>
      <c r="FI67" s="30"/>
      <c r="FJ67" s="30"/>
      <c r="FK67" s="30"/>
      <c r="FL67" s="30"/>
      <c r="FM67" s="30"/>
      <c r="FN67" s="30"/>
      <c r="FO67" s="30"/>
      <c r="FP67" s="30"/>
      <c r="FQ67" s="30"/>
      <c r="FR67" s="30"/>
      <c r="FS67" s="30"/>
      <c r="FT67" s="30"/>
      <c r="FU67" s="30"/>
      <c r="FV67" s="30"/>
      <c r="FW67" s="30"/>
      <c r="FX67" s="30"/>
      <c r="FY67" s="30"/>
      <c r="FZ67" s="30"/>
      <c r="GA67" s="30"/>
      <c r="GB67" s="30"/>
      <c r="GC67" s="30"/>
      <c r="GD67" s="30"/>
      <c r="GE67" s="30"/>
      <c r="GF67" s="30"/>
      <c r="GG67" s="30"/>
      <c r="GH67" s="30"/>
      <c r="GI67" s="30"/>
      <c r="GJ67" s="30"/>
      <c r="GK67" s="30"/>
      <c r="GL67" s="30"/>
      <c r="GM67" s="30"/>
      <c r="GN67" s="30"/>
      <c r="GO67" s="30"/>
      <c r="GP67" s="30"/>
      <c r="GQ67" s="30"/>
      <c r="GR67" s="30"/>
      <c r="GS67" s="30"/>
      <c r="GT67" s="30"/>
      <c r="GU67" s="30"/>
      <c r="GV67" s="30"/>
      <c r="GW67" s="30"/>
      <c r="GX67" s="30"/>
      <c r="GY67" s="30"/>
      <c r="GZ67" s="30"/>
      <c r="HA67" s="30"/>
      <c r="HB67" s="30"/>
      <c r="HC67" s="30"/>
      <c r="HD67" s="30"/>
      <c r="HE67" s="30"/>
    </row>
    <row r="68">
      <c r="A68" s="91" t="s">
        <v>130</v>
      </c>
      <c r="B68" s="118">
        <f t="shared" si="8"/>
        <v>0.008849557522</v>
      </c>
      <c r="C68" s="111">
        <f t="shared" si="9"/>
        <v>2</v>
      </c>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87">
        <v>2.0</v>
      </c>
      <c r="BY68" s="30"/>
      <c r="BZ68" s="30"/>
      <c r="CA68" s="30"/>
      <c r="CB68" s="30"/>
      <c r="CC68" s="30"/>
      <c r="CD68" s="30"/>
      <c r="CE68" s="30"/>
      <c r="CF68" s="30"/>
      <c r="CG68" s="30"/>
      <c r="CH68" s="30"/>
      <c r="CI68" s="30"/>
      <c r="CJ68" s="30"/>
      <c r="CK68" s="87">
        <v>4.0</v>
      </c>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30"/>
      <c r="EO68" s="30"/>
      <c r="EP68" s="30"/>
      <c r="EQ68" s="30"/>
      <c r="ER68" s="30"/>
      <c r="ES68" s="30"/>
      <c r="ET68" s="30"/>
      <c r="EU68" s="30"/>
      <c r="EV68" s="30"/>
      <c r="EW68" s="30"/>
      <c r="EX68" s="30"/>
      <c r="EY68" s="30"/>
      <c r="EZ68" s="30"/>
      <c r="FA68" s="30"/>
      <c r="FB68" s="30"/>
      <c r="FC68" s="30"/>
      <c r="FD68" s="30"/>
      <c r="FE68" s="30"/>
      <c r="FF68" s="30"/>
      <c r="FG68" s="30"/>
      <c r="FH68" s="30"/>
      <c r="FI68" s="30"/>
      <c r="FJ68" s="30"/>
      <c r="FK68" s="30"/>
      <c r="FL68" s="30"/>
      <c r="FM68" s="30"/>
      <c r="FN68" s="30"/>
      <c r="FO68" s="30"/>
      <c r="FP68" s="30"/>
      <c r="FQ68" s="30"/>
      <c r="FR68" s="30"/>
      <c r="FS68" s="30"/>
      <c r="FT68" s="30"/>
      <c r="FU68" s="30"/>
      <c r="FV68" s="30"/>
      <c r="FW68" s="30"/>
      <c r="FX68" s="30"/>
      <c r="FY68" s="30"/>
      <c r="FZ68" s="30"/>
      <c r="GA68" s="30"/>
      <c r="GB68" s="30"/>
      <c r="GC68" s="30"/>
      <c r="GD68" s="30"/>
      <c r="GE68" s="30"/>
      <c r="GF68" s="30"/>
      <c r="GG68" s="30"/>
      <c r="GH68" s="30"/>
      <c r="GI68" s="30"/>
      <c r="GJ68" s="30"/>
      <c r="GK68" s="30"/>
      <c r="GL68" s="30"/>
      <c r="GM68" s="30"/>
      <c r="GN68" s="30"/>
      <c r="GO68" s="30"/>
      <c r="GP68" s="30"/>
      <c r="GQ68" s="30"/>
      <c r="GR68" s="30"/>
      <c r="GS68" s="30"/>
      <c r="GT68" s="30"/>
      <c r="GU68" s="30"/>
      <c r="GV68" s="30"/>
      <c r="GW68" s="30"/>
      <c r="GX68" s="30"/>
      <c r="GY68" s="30"/>
      <c r="GZ68" s="30"/>
      <c r="HA68" s="30"/>
      <c r="HB68" s="30"/>
      <c r="HC68" s="30"/>
      <c r="HD68" s="30"/>
      <c r="HE68" s="30"/>
    </row>
    <row r="69">
      <c r="A69" s="9" t="s">
        <v>88</v>
      </c>
      <c r="B69" s="118">
        <f t="shared" si="8"/>
        <v>0.02654867257</v>
      </c>
      <c r="C69" s="111">
        <f t="shared" si="9"/>
        <v>6</v>
      </c>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87">
        <v>5.0</v>
      </c>
      <c r="BO69" s="30"/>
      <c r="BP69" s="30"/>
      <c r="BQ69" s="30"/>
      <c r="BR69" s="30"/>
      <c r="BS69" s="30"/>
      <c r="BT69" s="30"/>
      <c r="BU69" s="87">
        <v>1.0</v>
      </c>
      <c r="BV69" s="30"/>
      <c r="BW69" s="30"/>
      <c r="BX69" s="30"/>
      <c r="BY69" s="30"/>
      <c r="BZ69" s="30"/>
      <c r="CA69" s="87">
        <v>2.0</v>
      </c>
      <c r="CB69" s="30"/>
      <c r="CC69" s="30"/>
      <c r="CD69" s="30"/>
      <c r="CE69" s="30"/>
      <c r="CF69" s="30"/>
      <c r="CG69" s="87">
        <v>2.0</v>
      </c>
      <c r="CH69" s="30"/>
      <c r="CI69" s="87">
        <v>1.0</v>
      </c>
      <c r="CJ69" s="30"/>
      <c r="CK69" s="30"/>
      <c r="CL69" s="30"/>
      <c r="CM69" s="30"/>
      <c r="CN69" s="30"/>
      <c r="CO69" s="30"/>
      <c r="CP69" s="30"/>
      <c r="CQ69" s="87" t="s">
        <v>334</v>
      </c>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30"/>
      <c r="EQ69" s="30"/>
      <c r="ER69" s="30"/>
      <c r="ES69" s="30"/>
      <c r="ET69" s="30"/>
      <c r="EU69" s="30"/>
      <c r="EV69" s="30"/>
      <c r="EW69" s="30"/>
      <c r="EX69" s="30"/>
      <c r="EY69" s="30"/>
      <c r="EZ69" s="30"/>
      <c r="FA69" s="30"/>
      <c r="FB69" s="30"/>
      <c r="FC69" s="30"/>
      <c r="FD69" s="30"/>
      <c r="FE69" s="30"/>
      <c r="FF69" s="30"/>
      <c r="FG69" s="30"/>
      <c r="FH69" s="30"/>
      <c r="FI69" s="30"/>
      <c r="FJ69" s="30"/>
      <c r="FK69" s="30"/>
      <c r="FL69" s="30"/>
      <c r="FM69" s="30"/>
      <c r="FN69" s="30"/>
      <c r="FO69" s="30"/>
      <c r="FP69" s="30"/>
      <c r="FQ69" s="30"/>
      <c r="FR69" s="30"/>
      <c r="FS69" s="30"/>
      <c r="FT69" s="30"/>
      <c r="FU69" s="30"/>
      <c r="FV69" s="30"/>
      <c r="FW69" s="30"/>
      <c r="FX69" s="30"/>
      <c r="FY69" s="30"/>
      <c r="FZ69" s="30"/>
      <c r="GA69" s="30"/>
      <c r="GB69" s="30"/>
      <c r="GC69" s="30"/>
      <c r="GD69" s="30"/>
      <c r="GE69" s="30"/>
      <c r="GF69" s="30"/>
      <c r="GG69" s="30"/>
      <c r="GH69" s="30"/>
      <c r="GI69" s="30"/>
      <c r="GJ69" s="30"/>
      <c r="GK69" s="30"/>
      <c r="GL69" s="30"/>
      <c r="GM69" s="30"/>
      <c r="GN69" s="30"/>
      <c r="GO69" s="30"/>
      <c r="GP69" s="30"/>
      <c r="GQ69" s="30"/>
      <c r="GR69" s="30"/>
      <c r="GS69" s="30"/>
      <c r="GT69" s="30"/>
      <c r="GU69" s="30"/>
      <c r="GV69" s="30"/>
      <c r="GW69" s="30"/>
      <c r="GX69" s="30"/>
      <c r="GY69" s="30"/>
      <c r="GZ69" s="30"/>
      <c r="HA69" s="30"/>
      <c r="HB69" s="30"/>
      <c r="HC69" s="30"/>
      <c r="HD69" s="30"/>
      <c r="HE69" s="30"/>
    </row>
    <row r="70">
      <c r="A70" s="9" t="s">
        <v>109</v>
      </c>
      <c r="B70" s="118">
        <f t="shared" si="8"/>
        <v>0.02212389381</v>
      </c>
      <c r="C70" s="111">
        <f t="shared" si="9"/>
        <v>5</v>
      </c>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87">
        <v>1.0</v>
      </c>
      <c r="BC70" s="30"/>
      <c r="BD70" s="30"/>
      <c r="BE70" s="30"/>
      <c r="BF70" s="30"/>
      <c r="BG70" s="30"/>
      <c r="BH70" s="87" t="s">
        <v>333</v>
      </c>
      <c r="BI70" s="30"/>
      <c r="BJ70" s="30"/>
      <c r="BK70" s="30"/>
      <c r="BL70" s="30"/>
      <c r="BM70" s="87">
        <v>3.0</v>
      </c>
      <c r="BN70" s="30"/>
      <c r="BO70" s="30"/>
      <c r="BP70" s="30"/>
      <c r="BQ70" s="30"/>
      <c r="BR70" s="30"/>
      <c r="BS70" s="30"/>
      <c r="BT70" s="30"/>
      <c r="BU70" s="30"/>
      <c r="BV70" s="30"/>
      <c r="BW70" s="30"/>
      <c r="BX70" s="87">
        <v>1.0</v>
      </c>
      <c r="BY70" s="30"/>
      <c r="BZ70" s="30"/>
      <c r="CA70" s="87">
        <v>1.0</v>
      </c>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30"/>
      <c r="EO70" s="30"/>
      <c r="EP70" s="30"/>
      <c r="EQ70" s="30"/>
      <c r="ER70" s="30"/>
      <c r="ES70" s="30"/>
      <c r="ET70" s="30"/>
      <c r="EU70" s="30"/>
      <c r="EV70" s="30"/>
      <c r="EW70" s="30"/>
      <c r="EX70" s="30"/>
      <c r="EY70" s="30"/>
      <c r="EZ70" s="30"/>
      <c r="FA70" s="30"/>
      <c r="FB70" s="30"/>
      <c r="FC70" s="30"/>
      <c r="FD70" s="30"/>
      <c r="FE70" s="30"/>
      <c r="FF70" s="30"/>
      <c r="FG70" s="30"/>
      <c r="FH70" s="30"/>
      <c r="FI70" s="30"/>
      <c r="FJ70" s="30"/>
      <c r="FK70" s="30"/>
      <c r="FL70" s="30"/>
      <c r="FM70" s="30"/>
      <c r="FN70" s="30"/>
      <c r="FO70" s="30"/>
      <c r="FP70" s="30"/>
      <c r="FQ70" s="30"/>
      <c r="FR70" s="30"/>
      <c r="FS70" s="30"/>
      <c r="FT70" s="30"/>
      <c r="FU70" s="30"/>
      <c r="FV70" s="30"/>
      <c r="FW70" s="30"/>
      <c r="FX70" s="30"/>
      <c r="FY70" s="30"/>
      <c r="FZ70" s="30"/>
      <c r="GA70" s="30"/>
      <c r="GB70" s="30"/>
      <c r="GC70" s="30"/>
      <c r="GD70" s="30"/>
      <c r="GE70" s="30"/>
      <c r="GF70" s="30"/>
      <c r="GG70" s="30"/>
      <c r="GH70" s="30"/>
      <c r="GI70" s="30"/>
      <c r="GJ70" s="30"/>
      <c r="GK70" s="30"/>
      <c r="GL70" s="30"/>
      <c r="GM70" s="30"/>
      <c r="GN70" s="30"/>
      <c r="GO70" s="30"/>
      <c r="GP70" s="30"/>
      <c r="GQ70" s="30"/>
      <c r="GR70" s="30"/>
      <c r="GS70" s="30"/>
      <c r="GT70" s="30"/>
      <c r="GU70" s="30"/>
      <c r="GV70" s="30"/>
      <c r="GW70" s="30"/>
      <c r="GX70" s="30"/>
      <c r="GY70" s="30"/>
      <c r="GZ70" s="30"/>
      <c r="HA70" s="30"/>
      <c r="HB70" s="30"/>
      <c r="HC70" s="30"/>
      <c r="HD70" s="30"/>
      <c r="HE70" s="30"/>
    </row>
    <row r="71">
      <c r="A71" s="9" t="s">
        <v>131</v>
      </c>
      <c r="B71" s="118">
        <f t="shared" si="8"/>
        <v>0.01769911504</v>
      </c>
      <c r="C71" s="111">
        <f t="shared" si="9"/>
        <v>4</v>
      </c>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87">
        <v>2.0</v>
      </c>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87">
        <v>1.0</v>
      </c>
      <c r="CK71" s="30"/>
      <c r="CL71" s="30"/>
      <c r="CM71" s="30"/>
      <c r="CN71" s="87">
        <v>1.0</v>
      </c>
      <c r="CO71" s="87">
        <v>2.0</v>
      </c>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30"/>
      <c r="EO71" s="30"/>
      <c r="EP71" s="30"/>
      <c r="EQ71" s="30"/>
      <c r="ER71" s="30"/>
      <c r="ES71" s="30"/>
      <c r="ET71" s="30"/>
      <c r="EU71" s="30"/>
      <c r="EV71" s="30"/>
      <c r="EW71" s="30"/>
      <c r="EX71" s="30"/>
      <c r="EY71" s="30"/>
      <c r="EZ71" s="30"/>
      <c r="FA71" s="30"/>
      <c r="FB71" s="30"/>
      <c r="FC71" s="30"/>
      <c r="FD71" s="30"/>
      <c r="FE71" s="30"/>
      <c r="FF71" s="30"/>
      <c r="FG71" s="30"/>
      <c r="FH71" s="30"/>
      <c r="FI71" s="30"/>
      <c r="FJ71" s="30"/>
      <c r="FK71" s="30"/>
      <c r="FL71" s="30"/>
      <c r="FM71" s="30"/>
      <c r="FN71" s="30"/>
      <c r="FO71" s="30"/>
      <c r="FP71" s="30"/>
      <c r="FQ71" s="30"/>
      <c r="FR71" s="30"/>
      <c r="FS71" s="30"/>
      <c r="FT71" s="30"/>
      <c r="FU71" s="30"/>
      <c r="FV71" s="30"/>
      <c r="FW71" s="30"/>
      <c r="FX71" s="30"/>
      <c r="FY71" s="30"/>
      <c r="FZ71" s="30"/>
      <c r="GA71" s="30"/>
      <c r="GB71" s="30"/>
      <c r="GC71" s="30"/>
      <c r="GD71" s="30"/>
      <c r="GE71" s="30"/>
      <c r="GF71" s="30"/>
      <c r="GG71" s="30"/>
      <c r="GH71" s="30"/>
      <c r="GI71" s="30"/>
      <c r="GJ71" s="30"/>
      <c r="GK71" s="30"/>
      <c r="GL71" s="30"/>
      <c r="GM71" s="30"/>
      <c r="GN71" s="30"/>
      <c r="GO71" s="30"/>
      <c r="GP71" s="30"/>
      <c r="GQ71" s="30"/>
      <c r="GR71" s="30"/>
      <c r="GS71" s="30"/>
      <c r="GT71" s="30"/>
      <c r="GU71" s="30"/>
      <c r="GV71" s="30"/>
      <c r="GW71" s="30"/>
      <c r="GX71" s="30"/>
      <c r="GY71" s="30"/>
      <c r="GZ71" s="30"/>
      <c r="HA71" s="30"/>
      <c r="HB71" s="30"/>
      <c r="HC71" s="30"/>
      <c r="HD71" s="30"/>
      <c r="HE71" s="30"/>
    </row>
    <row r="72">
      <c r="A72" s="9" t="s">
        <v>89</v>
      </c>
      <c r="B72" s="118">
        <f t="shared" si="8"/>
        <v>0.03097345133</v>
      </c>
      <c r="C72" s="111">
        <f t="shared" si="9"/>
        <v>7</v>
      </c>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87">
        <v>1.0</v>
      </c>
      <c r="BT72" s="30"/>
      <c r="BU72" s="87">
        <v>4.0</v>
      </c>
      <c r="BV72" s="30"/>
      <c r="BW72" s="30"/>
      <c r="BX72" s="30"/>
      <c r="BY72" s="30"/>
      <c r="BZ72" s="87">
        <v>3.0</v>
      </c>
      <c r="CA72" s="87" t="s">
        <v>334</v>
      </c>
      <c r="CB72" s="112"/>
      <c r="CC72" s="112"/>
      <c r="CD72" s="112"/>
      <c r="CE72" s="112"/>
      <c r="CF72" s="87">
        <v>3.0</v>
      </c>
      <c r="CG72" s="87">
        <v>1.0</v>
      </c>
      <c r="CH72" s="112"/>
      <c r="CI72" s="112"/>
      <c r="CJ72" s="112"/>
      <c r="CK72" s="112"/>
      <c r="CL72" s="87">
        <v>1.0</v>
      </c>
      <c r="CM72" s="112"/>
      <c r="CN72" s="112"/>
      <c r="CO72" s="112"/>
      <c r="CP72" s="112"/>
      <c r="CQ72" s="112"/>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87"/>
      <c r="EM72" s="87"/>
      <c r="EN72" s="87"/>
      <c r="EO72" s="87"/>
      <c r="EP72" s="87"/>
      <c r="EQ72" s="87"/>
      <c r="ER72" s="87"/>
      <c r="ES72" s="87"/>
      <c r="ET72" s="87"/>
      <c r="EU72" s="87"/>
      <c r="EV72" s="87"/>
      <c r="EW72" s="87"/>
      <c r="EX72" s="87"/>
      <c r="EY72" s="87"/>
      <c r="EZ72" s="87"/>
      <c r="FA72" s="87"/>
      <c r="FB72" s="87"/>
      <c r="FC72" s="87"/>
      <c r="FD72" s="87"/>
      <c r="FE72" s="87"/>
      <c r="FF72" s="87"/>
      <c r="FG72" s="87"/>
      <c r="FH72" s="87"/>
      <c r="FI72" s="87"/>
      <c r="FJ72" s="87"/>
      <c r="FK72" s="87"/>
      <c r="FL72" s="87"/>
      <c r="FM72" s="87"/>
      <c r="FN72" s="87"/>
      <c r="FO72" s="87"/>
      <c r="FP72" s="87"/>
      <c r="FQ72" s="87"/>
      <c r="FR72" s="87"/>
      <c r="FS72" s="87"/>
      <c r="FT72" s="87"/>
      <c r="FU72" s="87"/>
      <c r="FV72" s="87"/>
      <c r="FW72" s="87"/>
      <c r="FX72" s="87"/>
      <c r="FY72" s="87"/>
      <c r="FZ72" s="87"/>
      <c r="GA72" s="87"/>
      <c r="GB72" s="87"/>
      <c r="GC72" s="87"/>
      <c r="GD72" s="87"/>
      <c r="GE72" s="87"/>
      <c r="GF72" s="87"/>
      <c r="GG72" s="87"/>
      <c r="GH72" s="87"/>
      <c r="GI72" s="87"/>
      <c r="GJ72" s="87"/>
      <c r="GK72" s="87"/>
      <c r="GL72" s="87"/>
      <c r="GM72" s="87"/>
      <c r="GN72" s="87"/>
      <c r="GO72" s="87"/>
      <c r="GP72" s="87"/>
      <c r="GQ72" s="87"/>
      <c r="GR72" s="87"/>
      <c r="GS72" s="87"/>
      <c r="GT72" s="87"/>
      <c r="GU72" s="87"/>
      <c r="GV72" s="87"/>
      <c r="GW72" s="87"/>
      <c r="GX72" s="87"/>
      <c r="GY72" s="87"/>
      <c r="GZ72" s="87"/>
      <c r="HA72" s="87"/>
      <c r="HB72" s="87"/>
      <c r="HC72" s="87"/>
      <c r="HD72" s="87"/>
      <c r="HE72" s="87"/>
    </row>
    <row r="73">
      <c r="A73" s="9" t="s">
        <v>110</v>
      </c>
      <c r="B73" s="118">
        <f t="shared" si="8"/>
        <v>0.004424778761</v>
      </c>
      <c r="C73" s="111">
        <f t="shared" si="9"/>
        <v>1</v>
      </c>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87">
        <v>3.0</v>
      </c>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0"/>
      <c r="FG73" s="30"/>
      <c r="FH73" s="30"/>
      <c r="FI73" s="30"/>
      <c r="FJ73" s="30"/>
      <c r="FK73" s="30"/>
      <c r="FL73" s="30"/>
      <c r="FM73" s="30"/>
      <c r="FN73" s="30"/>
      <c r="FO73" s="30"/>
      <c r="FP73" s="30"/>
      <c r="FQ73" s="30"/>
      <c r="FR73" s="30"/>
      <c r="FS73" s="30"/>
      <c r="FT73" s="30"/>
      <c r="FU73" s="30"/>
      <c r="FV73" s="30"/>
      <c r="FW73" s="30"/>
      <c r="FX73" s="30"/>
      <c r="FY73" s="30"/>
      <c r="FZ73" s="30"/>
      <c r="GA73" s="30"/>
      <c r="GB73" s="30"/>
      <c r="GC73" s="30"/>
      <c r="GD73" s="30"/>
      <c r="GE73" s="30"/>
      <c r="GF73" s="30"/>
      <c r="GG73" s="30"/>
      <c r="GH73" s="30"/>
      <c r="GI73" s="30"/>
      <c r="GJ73" s="30"/>
      <c r="GK73" s="30"/>
      <c r="GL73" s="30"/>
      <c r="GM73" s="30"/>
      <c r="GN73" s="30"/>
      <c r="GO73" s="30"/>
      <c r="GP73" s="30"/>
      <c r="GQ73" s="30"/>
      <c r="GR73" s="30"/>
      <c r="GS73" s="30"/>
      <c r="GT73" s="30"/>
      <c r="GU73" s="30"/>
      <c r="GV73" s="30"/>
      <c r="GW73" s="30"/>
      <c r="GX73" s="30"/>
      <c r="GY73" s="30"/>
      <c r="GZ73" s="30"/>
      <c r="HA73" s="30"/>
      <c r="HB73" s="30"/>
      <c r="HC73" s="30"/>
      <c r="HD73" s="30"/>
      <c r="HE73" s="30"/>
    </row>
    <row r="74">
      <c r="A74" s="91" t="s">
        <v>132</v>
      </c>
      <c r="B74" s="118">
        <f t="shared" si="8"/>
        <v>0.01327433628</v>
      </c>
      <c r="C74" s="111">
        <f t="shared" si="9"/>
        <v>3</v>
      </c>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87">
        <v>5.0</v>
      </c>
      <c r="BC74" s="30"/>
      <c r="BD74" s="30"/>
      <c r="BE74" s="30"/>
      <c r="BF74" s="30"/>
      <c r="BG74" s="30"/>
      <c r="BH74" s="30"/>
      <c r="BI74" s="30"/>
      <c r="BJ74" s="30"/>
      <c r="BK74" s="30"/>
      <c r="BL74" s="30"/>
      <c r="BM74" s="30"/>
      <c r="BN74" s="30"/>
      <c r="BO74" s="87">
        <v>1.0</v>
      </c>
      <c r="BP74" s="30"/>
      <c r="BQ74" s="30"/>
      <c r="BR74" s="30"/>
      <c r="BS74" s="30"/>
      <c r="BT74" s="30"/>
      <c r="BU74" s="30"/>
      <c r="BV74" s="30"/>
      <c r="BW74" s="30"/>
      <c r="BX74" s="30"/>
      <c r="BY74" s="30"/>
      <c r="BZ74" s="30"/>
      <c r="CA74" s="30"/>
      <c r="CB74" s="30"/>
      <c r="CC74" s="30"/>
      <c r="CD74" s="30"/>
      <c r="CE74" s="30"/>
      <c r="CF74" s="30"/>
      <c r="CG74" s="30"/>
      <c r="CH74" s="30"/>
      <c r="CI74" s="87">
        <v>1.0</v>
      </c>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30"/>
      <c r="EO74" s="30"/>
      <c r="EP74" s="30"/>
      <c r="EQ74" s="30"/>
      <c r="ER74" s="30"/>
      <c r="ES74" s="30"/>
      <c r="ET74" s="30"/>
      <c r="EU74" s="30"/>
      <c r="EV74" s="30"/>
      <c r="EW74" s="30"/>
      <c r="EX74" s="30"/>
      <c r="EY74" s="30"/>
      <c r="EZ74" s="30"/>
      <c r="FA74" s="30"/>
      <c r="FB74" s="30"/>
      <c r="FC74" s="30"/>
      <c r="FD74" s="30"/>
      <c r="FE74" s="30"/>
      <c r="FF74" s="30"/>
      <c r="FG74" s="30"/>
      <c r="FH74" s="30"/>
      <c r="FI74" s="30"/>
      <c r="FJ74" s="30"/>
      <c r="FK74" s="30"/>
      <c r="FL74" s="30"/>
      <c r="FM74" s="30"/>
      <c r="FN74" s="30"/>
      <c r="FO74" s="30"/>
      <c r="FP74" s="30"/>
      <c r="FQ74" s="30"/>
      <c r="FR74" s="30"/>
      <c r="FS74" s="30"/>
      <c r="FT74" s="30"/>
      <c r="FU74" s="30"/>
      <c r="FV74" s="30"/>
      <c r="FW74" s="30"/>
      <c r="FX74" s="30"/>
      <c r="FY74" s="30"/>
      <c r="FZ74" s="30"/>
      <c r="GA74" s="30"/>
      <c r="GB74" s="30"/>
      <c r="GC74" s="30"/>
      <c r="GD74" s="30"/>
      <c r="GE74" s="30"/>
      <c r="GF74" s="30"/>
      <c r="GG74" s="30"/>
      <c r="GH74" s="30"/>
      <c r="GI74" s="30"/>
      <c r="GJ74" s="30"/>
      <c r="GK74" s="30"/>
      <c r="GL74" s="30"/>
      <c r="GM74" s="30"/>
      <c r="GN74" s="30"/>
      <c r="GO74" s="30"/>
      <c r="GP74" s="30"/>
      <c r="GQ74" s="30"/>
      <c r="GR74" s="30"/>
      <c r="GS74" s="30"/>
      <c r="GT74" s="30"/>
      <c r="GU74" s="30"/>
      <c r="GV74" s="30"/>
      <c r="GW74" s="30"/>
      <c r="GX74" s="30"/>
      <c r="GY74" s="30"/>
      <c r="GZ74" s="30"/>
      <c r="HA74" s="30"/>
      <c r="HB74" s="30"/>
      <c r="HC74" s="30"/>
      <c r="HD74" s="30"/>
      <c r="HE74" s="30"/>
    </row>
    <row r="75">
      <c r="A75" s="9" t="s">
        <v>90</v>
      </c>
      <c r="B75" s="118">
        <f t="shared" si="8"/>
        <v>0.01769911504</v>
      </c>
      <c r="C75" s="111">
        <f t="shared" si="9"/>
        <v>4</v>
      </c>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87">
        <v>1.0</v>
      </c>
      <c r="BK75" s="30"/>
      <c r="BL75" s="30"/>
      <c r="BM75" s="87">
        <v>2.0</v>
      </c>
      <c r="BN75" s="30"/>
      <c r="BO75" s="30"/>
      <c r="BP75" s="30"/>
      <c r="BQ75" s="30"/>
      <c r="BR75" s="30"/>
      <c r="BS75" s="87">
        <v>2.0</v>
      </c>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87">
        <v>1.0</v>
      </c>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30"/>
      <c r="EQ75" s="30"/>
      <c r="ER75" s="30"/>
      <c r="ES75" s="30"/>
      <c r="ET75" s="30"/>
      <c r="EU75" s="30"/>
      <c r="EV75" s="30"/>
      <c r="EW75" s="30"/>
      <c r="EX75" s="30"/>
      <c r="EY75" s="30"/>
      <c r="EZ75" s="30"/>
      <c r="FA75" s="30"/>
      <c r="FB75" s="30"/>
      <c r="FC75" s="30"/>
      <c r="FD75" s="30"/>
      <c r="FE75" s="30"/>
      <c r="FF75" s="30"/>
      <c r="FG75" s="30"/>
      <c r="FH75" s="30"/>
      <c r="FI75" s="30"/>
      <c r="FJ75" s="30"/>
      <c r="FK75" s="30"/>
      <c r="FL75" s="30"/>
      <c r="FM75" s="30"/>
      <c r="FN75" s="30"/>
      <c r="FO75" s="30"/>
      <c r="FP75" s="30"/>
      <c r="FQ75" s="30"/>
      <c r="FR75" s="30"/>
      <c r="FS75" s="30"/>
      <c r="FT75" s="30"/>
      <c r="FU75" s="30"/>
      <c r="FV75" s="30"/>
      <c r="FW75" s="30"/>
      <c r="FX75" s="30"/>
      <c r="FY75" s="30"/>
      <c r="FZ75" s="30"/>
      <c r="GA75" s="30"/>
      <c r="GB75" s="30"/>
      <c r="GC75" s="30"/>
      <c r="GD75" s="30"/>
      <c r="GE75" s="30"/>
      <c r="GF75" s="30"/>
      <c r="GG75" s="30"/>
      <c r="GH75" s="30"/>
      <c r="GI75" s="30"/>
      <c r="GJ75" s="30"/>
      <c r="GK75" s="30"/>
      <c r="GL75" s="30"/>
      <c r="GM75" s="30"/>
      <c r="GN75" s="30"/>
      <c r="GO75" s="30"/>
      <c r="GP75" s="30"/>
      <c r="GQ75" s="30"/>
      <c r="GR75" s="30"/>
      <c r="GS75" s="30"/>
      <c r="GT75" s="30"/>
      <c r="GU75" s="30"/>
      <c r="GV75" s="30"/>
      <c r="GW75" s="30"/>
      <c r="GX75" s="30"/>
      <c r="GY75" s="30"/>
      <c r="GZ75" s="30"/>
      <c r="HA75" s="30"/>
      <c r="HB75" s="30"/>
      <c r="HC75" s="30"/>
      <c r="HD75" s="30"/>
      <c r="HE75" s="30"/>
    </row>
    <row r="76">
      <c r="A76" s="9" t="s">
        <v>111</v>
      </c>
      <c r="B76" s="118">
        <f t="shared" si="8"/>
        <v>0.01769911504</v>
      </c>
      <c r="C76" s="111">
        <f t="shared" si="9"/>
        <v>4</v>
      </c>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87">
        <v>3.0</v>
      </c>
      <c r="BL76" s="87">
        <v>1.0</v>
      </c>
      <c r="BM76" s="30"/>
      <c r="BN76" s="87">
        <v>3.0</v>
      </c>
      <c r="BO76" s="30"/>
      <c r="BP76" s="30"/>
      <c r="BQ76" s="30"/>
      <c r="BR76" s="30"/>
      <c r="BS76" s="30"/>
      <c r="BT76" s="30"/>
      <c r="BU76" s="30"/>
      <c r="BV76" s="30"/>
      <c r="BW76" s="30"/>
      <c r="BX76" s="30"/>
      <c r="BY76" s="30"/>
      <c r="BZ76" s="30"/>
      <c r="CA76" s="30"/>
      <c r="CB76" s="30"/>
      <c r="CC76" s="87">
        <v>2.0</v>
      </c>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30"/>
      <c r="EO76" s="30"/>
      <c r="EP76" s="30"/>
      <c r="EQ76" s="30"/>
      <c r="ER76" s="30"/>
      <c r="ES76" s="30"/>
      <c r="ET76" s="30"/>
      <c r="EU76" s="30"/>
      <c r="EV76" s="30"/>
      <c r="EW76" s="30"/>
      <c r="EX76" s="30"/>
      <c r="EY76" s="30"/>
      <c r="EZ76" s="30"/>
      <c r="FA76" s="30"/>
      <c r="FB76" s="30"/>
      <c r="FC76" s="30"/>
      <c r="FD76" s="30"/>
      <c r="FE76" s="30"/>
      <c r="FF76" s="30"/>
      <c r="FG76" s="30"/>
      <c r="FH76" s="30"/>
      <c r="FI76" s="30"/>
      <c r="FJ76" s="30"/>
      <c r="FK76" s="30"/>
      <c r="FL76" s="30"/>
      <c r="FM76" s="30"/>
      <c r="FN76" s="30"/>
      <c r="FO76" s="30"/>
      <c r="FP76" s="30"/>
      <c r="FQ76" s="30"/>
      <c r="FR76" s="30"/>
      <c r="FS76" s="30"/>
      <c r="FT76" s="30"/>
      <c r="FU76" s="30"/>
      <c r="FV76" s="30"/>
      <c r="FW76" s="30"/>
      <c r="FX76" s="30"/>
      <c r="FY76" s="30"/>
      <c r="FZ76" s="30"/>
      <c r="GA76" s="30"/>
      <c r="GB76" s="30"/>
      <c r="GC76" s="30"/>
      <c r="GD76" s="30"/>
      <c r="GE76" s="30"/>
      <c r="GF76" s="30"/>
      <c r="GG76" s="30"/>
      <c r="GH76" s="30"/>
      <c r="GI76" s="30"/>
      <c r="GJ76" s="30"/>
      <c r="GK76" s="30"/>
      <c r="GL76" s="30"/>
      <c r="GM76" s="30"/>
      <c r="GN76" s="30"/>
      <c r="GO76" s="30"/>
      <c r="GP76" s="30"/>
      <c r="GQ76" s="30"/>
      <c r="GR76" s="30"/>
      <c r="GS76" s="30"/>
      <c r="GT76" s="30"/>
      <c r="GU76" s="30"/>
      <c r="GV76" s="30"/>
      <c r="GW76" s="30"/>
      <c r="GX76" s="30"/>
      <c r="GY76" s="30"/>
      <c r="GZ76" s="30"/>
      <c r="HA76" s="30"/>
      <c r="HB76" s="30"/>
      <c r="HC76" s="30"/>
      <c r="HD76" s="30"/>
      <c r="HE76" s="30"/>
    </row>
    <row r="77">
      <c r="A77" s="9" t="s">
        <v>133</v>
      </c>
      <c r="B77" s="118">
        <f t="shared" si="8"/>
        <v>0.03097345133</v>
      </c>
      <c r="C77" s="111">
        <f t="shared" si="9"/>
        <v>7</v>
      </c>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87">
        <v>2.0</v>
      </c>
      <c r="BJ77" s="30"/>
      <c r="BK77" s="30"/>
      <c r="BL77" s="30"/>
      <c r="BM77" s="30"/>
      <c r="BN77" s="30"/>
      <c r="BO77" s="30"/>
      <c r="BP77" s="30"/>
      <c r="BQ77" s="30"/>
      <c r="BR77" s="30"/>
      <c r="BS77" s="30"/>
      <c r="BT77" s="30"/>
      <c r="BU77" s="87">
        <v>2.0</v>
      </c>
      <c r="BV77" s="30"/>
      <c r="BW77" s="87">
        <v>1.0</v>
      </c>
      <c r="BX77" s="30"/>
      <c r="BY77" s="30"/>
      <c r="BZ77" s="30"/>
      <c r="CA77" s="30"/>
      <c r="CB77" s="30"/>
      <c r="CC77" s="87">
        <v>2.0</v>
      </c>
      <c r="CD77" s="30"/>
      <c r="CE77" s="30"/>
      <c r="CF77" s="30"/>
      <c r="CG77" s="87">
        <v>1.0</v>
      </c>
      <c r="CH77" s="30"/>
      <c r="CI77" s="30"/>
      <c r="CJ77" s="30"/>
      <c r="CK77" s="87">
        <v>3.0</v>
      </c>
      <c r="CL77" s="30"/>
      <c r="CM77" s="30"/>
      <c r="CN77" s="30"/>
      <c r="CO77" s="30"/>
      <c r="CP77" s="30"/>
      <c r="CQ77" s="87">
        <v>1.0</v>
      </c>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30"/>
      <c r="EO77" s="30"/>
      <c r="EP77" s="30"/>
      <c r="EQ77" s="30"/>
      <c r="ER77" s="30"/>
      <c r="ES77" s="30"/>
      <c r="ET77" s="30"/>
      <c r="EU77" s="30"/>
      <c r="EV77" s="30"/>
      <c r="EW77" s="30"/>
      <c r="EX77" s="30"/>
      <c r="EY77" s="30"/>
      <c r="EZ77" s="30"/>
      <c r="FA77" s="30"/>
      <c r="FB77" s="30"/>
      <c r="FC77" s="30"/>
      <c r="FD77" s="30"/>
      <c r="FE77" s="30"/>
      <c r="FF77" s="30"/>
      <c r="FG77" s="30"/>
      <c r="FH77" s="30"/>
      <c r="FI77" s="30"/>
      <c r="FJ77" s="30"/>
      <c r="FK77" s="30"/>
      <c r="FL77" s="30"/>
      <c r="FM77" s="30"/>
      <c r="FN77" s="30"/>
      <c r="FO77" s="30"/>
      <c r="FP77" s="30"/>
      <c r="FQ77" s="30"/>
      <c r="FR77" s="30"/>
      <c r="FS77" s="30"/>
      <c r="FT77" s="30"/>
      <c r="FU77" s="30"/>
      <c r="FV77" s="30"/>
      <c r="FW77" s="30"/>
      <c r="FX77" s="30"/>
      <c r="FY77" s="30"/>
      <c r="FZ77" s="30"/>
      <c r="GA77" s="30"/>
      <c r="GB77" s="30"/>
      <c r="GC77" s="30"/>
      <c r="GD77" s="30"/>
      <c r="GE77" s="30"/>
      <c r="GF77" s="30"/>
      <c r="GG77" s="30"/>
      <c r="GH77" s="30"/>
      <c r="GI77" s="30"/>
      <c r="GJ77" s="30"/>
      <c r="GK77" s="30"/>
      <c r="GL77" s="30"/>
      <c r="GM77" s="30"/>
      <c r="GN77" s="30"/>
      <c r="GO77" s="30"/>
      <c r="GP77" s="30"/>
      <c r="GQ77" s="30"/>
      <c r="GR77" s="30"/>
      <c r="GS77" s="30"/>
      <c r="GT77" s="30"/>
      <c r="GU77" s="30"/>
      <c r="GV77" s="30"/>
      <c r="GW77" s="30"/>
      <c r="GX77" s="30"/>
      <c r="GY77" s="30"/>
      <c r="GZ77" s="30"/>
      <c r="HA77" s="30"/>
      <c r="HB77" s="30"/>
      <c r="HC77" s="30"/>
      <c r="HD77" s="30"/>
      <c r="HE77" s="30"/>
    </row>
    <row r="78">
      <c r="A78" s="9" t="s">
        <v>91</v>
      </c>
      <c r="B78" s="118">
        <f t="shared" si="8"/>
        <v>0.01769911504</v>
      </c>
      <c r="C78" s="111">
        <f t="shared" si="9"/>
        <v>4</v>
      </c>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87">
        <v>1.0</v>
      </c>
      <c r="BJ78" s="87">
        <v>1.0</v>
      </c>
      <c r="BK78" s="30"/>
      <c r="BL78" s="30"/>
      <c r="BM78" s="30"/>
      <c r="BN78" s="30"/>
      <c r="BO78" s="30"/>
      <c r="BP78" s="30"/>
      <c r="BQ78" s="30"/>
      <c r="BR78" s="30"/>
      <c r="BS78" s="30"/>
      <c r="BT78" s="30"/>
      <c r="BU78" s="30"/>
      <c r="BV78" s="30"/>
      <c r="BW78" s="30"/>
      <c r="BX78" s="87">
        <v>1.0</v>
      </c>
      <c r="BY78" s="30"/>
      <c r="BZ78" s="30"/>
      <c r="CA78" s="30"/>
      <c r="CB78" s="30"/>
      <c r="CC78" s="30"/>
      <c r="CD78" s="30"/>
      <c r="CE78" s="30"/>
      <c r="CF78" s="30"/>
      <c r="CG78" s="30"/>
      <c r="CH78" s="30"/>
      <c r="CI78" s="87">
        <v>1.0</v>
      </c>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30"/>
      <c r="EQ78" s="30"/>
      <c r="ER78" s="30"/>
      <c r="ES78" s="30"/>
      <c r="ET78" s="30"/>
      <c r="EU78" s="30"/>
      <c r="EV78" s="30"/>
      <c r="EW78" s="30"/>
      <c r="EX78" s="30"/>
      <c r="EY78" s="30"/>
      <c r="EZ78" s="30"/>
      <c r="FA78" s="30"/>
      <c r="FB78" s="30"/>
      <c r="FC78" s="30"/>
      <c r="FD78" s="30"/>
      <c r="FE78" s="30"/>
      <c r="FF78" s="30"/>
      <c r="FG78" s="30"/>
      <c r="FH78" s="30"/>
      <c r="FI78" s="30"/>
      <c r="FJ78" s="30"/>
      <c r="FK78" s="30"/>
      <c r="FL78" s="30"/>
      <c r="FM78" s="30"/>
      <c r="FN78" s="30"/>
      <c r="FO78" s="30"/>
      <c r="FP78" s="30"/>
      <c r="FQ78" s="30"/>
      <c r="FR78" s="30"/>
      <c r="FS78" s="30"/>
      <c r="FT78" s="30"/>
      <c r="FU78" s="30"/>
      <c r="FV78" s="30"/>
      <c r="FW78" s="30"/>
      <c r="FX78" s="30"/>
      <c r="FY78" s="30"/>
      <c r="FZ78" s="30"/>
      <c r="GA78" s="30"/>
      <c r="GB78" s="30"/>
      <c r="GC78" s="30"/>
      <c r="GD78" s="30"/>
      <c r="GE78" s="30"/>
      <c r="GF78" s="30"/>
      <c r="GG78" s="30"/>
      <c r="GH78" s="30"/>
      <c r="GI78" s="30"/>
      <c r="GJ78" s="30"/>
      <c r="GK78" s="30"/>
      <c r="GL78" s="30"/>
      <c r="GM78" s="30"/>
      <c r="GN78" s="30"/>
      <c r="GO78" s="30"/>
      <c r="GP78" s="30"/>
      <c r="GQ78" s="30"/>
      <c r="GR78" s="30"/>
      <c r="GS78" s="30"/>
      <c r="GT78" s="30"/>
      <c r="GU78" s="30"/>
      <c r="GV78" s="30"/>
      <c r="GW78" s="30"/>
      <c r="GX78" s="30"/>
      <c r="GY78" s="30"/>
      <c r="GZ78" s="30"/>
      <c r="HA78" s="30"/>
      <c r="HB78" s="30"/>
      <c r="HC78" s="30"/>
      <c r="HD78" s="30"/>
      <c r="HE78" s="30"/>
    </row>
    <row r="79">
      <c r="A79" s="119" t="s">
        <v>335</v>
      </c>
      <c r="B79" s="118">
        <f t="shared" si="8"/>
        <v>0.03539823009</v>
      </c>
      <c r="C79" s="111">
        <f t="shared" si="9"/>
        <v>8</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87">
        <v>1.0</v>
      </c>
      <c r="BB79" s="30"/>
      <c r="BC79" s="30"/>
      <c r="BD79" s="87">
        <v>3.0</v>
      </c>
      <c r="BE79" s="30"/>
      <c r="BF79" s="30"/>
      <c r="BG79" s="30"/>
      <c r="BH79" s="30"/>
      <c r="BI79" s="30"/>
      <c r="BJ79" s="30"/>
      <c r="BK79" s="30"/>
      <c r="BL79" s="30"/>
      <c r="BM79" s="87" t="s">
        <v>334</v>
      </c>
      <c r="BN79" s="30"/>
      <c r="BO79" s="30"/>
      <c r="BP79" s="87">
        <v>1.0</v>
      </c>
      <c r="BQ79" s="87">
        <v>2.0</v>
      </c>
      <c r="BR79" s="30"/>
      <c r="BS79" s="87">
        <v>1.0</v>
      </c>
      <c r="BT79" s="30"/>
      <c r="BU79" s="30"/>
      <c r="BV79" s="30"/>
      <c r="BW79" s="30"/>
      <c r="BX79" s="30"/>
      <c r="BY79" s="87">
        <v>4.0</v>
      </c>
      <c r="BZ79" s="30"/>
      <c r="CA79" s="30"/>
      <c r="CB79" s="30"/>
      <c r="CC79" s="30"/>
      <c r="CD79" s="30"/>
      <c r="CE79" s="30"/>
      <c r="CF79" s="87">
        <v>1.0</v>
      </c>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30"/>
      <c r="EO79" s="30"/>
      <c r="EP79" s="30"/>
      <c r="EQ79" s="30"/>
      <c r="ER79" s="30"/>
      <c r="ES79" s="30"/>
      <c r="ET79" s="30"/>
      <c r="EU79" s="30"/>
      <c r="EV79" s="30"/>
      <c r="EW79" s="30"/>
      <c r="EX79" s="30"/>
      <c r="EY79" s="30"/>
      <c r="EZ79" s="30"/>
      <c r="FA79" s="30"/>
      <c r="FB79" s="30"/>
      <c r="FC79" s="30"/>
      <c r="FD79" s="30"/>
      <c r="FE79" s="30"/>
      <c r="FF79" s="30"/>
      <c r="FG79" s="30"/>
      <c r="FH79" s="30"/>
      <c r="FI79" s="30"/>
      <c r="FJ79" s="30"/>
      <c r="FK79" s="30"/>
      <c r="FL79" s="30"/>
      <c r="FM79" s="30"/>
      <c r="FN79" s="30"/>
      <c r="FO79" s="30"/>
      <c r="FP79" s="30"/>
      <c r="FQ79" s="30"/>
      <c r="FR79" s="30"/>
      <c r="FS79" s="30"/>
      <c r="FT79" s="30"/>
      <c r="FU79" s="30"/>
      <c r="FV79" s="30"/>
      <c r="FW79" s="30"/>
      <c r="FX79" s="30"/>
      <c r="FY79" s="30"/>
      <c r="FZ79" s="30"/>
      <c r="GA79" s="30"/>
      <c r="GB79" s="30"/>
      <c r="GC79" s="30"/>
      <c r="GD79" s="30"/>
      <c r="GE79" s="30"/>
      <c r="GF79" s="30"/>
      <c r="GG79" s="30"/>
      <c r="GH79" s="30"/>
      <c r="GI79" s="30"/>
      <c r="GJ79" s="30"/>
      <c r="GK79" s="30"/>
      <c r="GL79" s="30"/>
      <c r="GM79" s="30"/>
      <c r="GN79" s="30"/>
      <c r="GO79" s="30"/>
      <c r="GP79" s="30"/>
      <c r="GQ79" s="30"/>
      <c r="GR79" s="30"/>
      <c r="GS79" s="30"/>
      <c r="GT79" s="30"/>
      <c r="GU79" s="30"/>
      <c r="GV79" s="30"/>
      <c r="GW79" s="30"/>
      <c r="GX79" s="30"/>
      <c r="GY79" s="30"/>
      <c r="GZ79" s="30"/>
      <c r="HA79" s="30"/>
      <c r="HB79" s="30"/>
      <c r="HC79" s="30"/>
      <c r="HD79" s="30"/>
      <c r="HE79" s="30"/>
    </row>
    <row r="80">
      <c r="A80" s="91" t="s">
        <v>135</v>
      </c>
      <c r="B80" s="118">
        <f t="shared" si="8"/>
        <v>0.05309734513</v>
      </c>
      <c r="C80" s="111">
        <f t="shared" si="9"/>
        <v>12</v>
      </c>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87">
        <v>3.0</v>
      </c>
      <c r="BC80" s="30"/>
      <c r="BD80" s="30"/>
      <c r="BE80" s="30"/>
      <c r="BF80" s="30"/>
      <c r="BG80" s="30"/>
      <c r="BH80" s="87">
        <v>1.0</v>
      </c>
      <c r="BI80" s="87">
        <v>2.0</v>
      </c>
      <c r="BJ80" s="87">
        <v>2.0</v>
      </c>
      <c r="BK80" s="30"/>
      <c r="BL80" s="30"/>
      <c r="BM80" s="87">
        <v>2.0</v>
      </c>
      <c r="BN80" s="30"/>
      <c r="BO80" s="30"/>
      <c r="BP80" s="87">
        <v>2.0</v>
      </c>
      <c r="BQ80" s="30"/>
      <c r="BR80" s="30"/>
      <c r="BS80" s="87">
        <v>3.0</v>
      </c>
      <c r="BT80" s="30"/>
      <c r="BU80" s="87">
        <v>1.0</v>
      </c>
      <c r="BV80" s="87">
        <v>2.0</v>
      </c>
      <c r="BW80" s="30"/>
      <c r="BX80" s="87">
        <v>1.0</v>
      </c>
      <c r="BY80" s="30"/>
      <c r="BZ80" s="30"/>
      <c r="CA80" s="30"/>
      <c r="CB80" s="87">
        <v>1.0</v>
      </c>
      <c r="CC80" s="30"/>
      <c r="CD80" s="30"/>
      <c r="CE80" s="30"/>
      <c r="CF80" s="30"/>
      <c r="CG80" s="30"/>
      <c r="CH80" s="30"/>
      <c r="CI80" s="30"/>
      <c r="CJ80" s="30"/>
      <c r="CK80" s="30"/>
      <c r="CL80" s="30"/>
      <c r="CM80" s="30"/>
      <c r="CN80" s="87">
        <v>2.0</v>
      </c>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30"/>
      <c r="EQ80" s="30"/>
      <c r="ER80" s="30"/>
      <c r="ES80" s="30"/>
      <c r="ET80" s="30"/>
      <c r="EU80" s="30"/>
      <c r="EV80" s="30"/>
      <c r="EW80" s="30"/>
      <c r="EX80" s="30"/>
      <c r="EY80" s="30"/>
      <c r="EZ80" s="30"/>
      <c r="FA80" s="30"/>
      <c r="FB80" s="30"/>
      <c r="FC80" s="30"/>
      <c r="FD80" s="30"/>
      <c r="FE80" s="30"/>
      <c r="FF80" s="30"/>
      <c r="FG80" s="30"/>
      <c r="FH80" s="30"/>
      <c r="FI80" s="30"/>
      <c r="FJ80" s="30"/>
      <c r="FK80" s="30"/>
      <c r="FL80" s="30"/>
      <c r="FM80" s="30"/>
      <c r="FN80" s="30"/>
      <c r="FO80" s="30"/>
      <c r="FP80" s="30"/>
      <c r="FQ80" s="30"/>
      <c r="FR80" s="30"/>
      <c r="FS80" s="30"/>
      <c r="FT80" s="30"/>
      <c r="FU80" s="30"/>
      <c r="FV80" s="30"/>
      <c r="FW80" s="30"/>
      <c r="FX80" s="30"/>
      <c r="FY80" s="30"/>
      <c r="FZ80" s="30"/>
      <c r="GA80" s="30"/>
      <c r="GB80" s="30"/>
      <c r="GC80" s="30"/>
      <c r="GD80" s="30"/>
      <c r="GE80" s="30"/>
      <c r="GF80" s="30"/>
      <c r="GG80" s="30"/>
      <c r="GH80" s="30"/>
      <c r="GI80" s="30"/>
      <c r="GJ80" s="30"/>
      <c r="GK80" s="30"/>
      <c r="GL80" s="30"/>
      <c r="GM80" s="30"/>
      <c r="GN80" s="30"/>
      <c r="GO80" s="30"/>
      <c r="GP80" s="30"/>
      <c r="GQ80" s="30"/>
      <c r="GR80" s="30"/>
      <c r="GS80" s="30"/>
      <c r="GT80" s="30"/>
      <c r="GU80" s="30"/>
      <c r="GV80" s="30"/>
      <c r="GW80" s="30"/>
      <c r="GX80" s="30"/>
      <c r="GY80" s="30"/>
      <c r="GZ80" s="30"/>
      <c r="HA80" s="30"/>
      <c r="HB80" s="30"/>
      <c r="HC80" s="30"/>
      <c r="HD80" s="30"/>
      <c r="HE80" s="30"/>
    </row>
    <row r="81">
      <c r="A81" s="9" t="s">
        <v>92</v>
      </c>
      <c r="B81" s="118">
        <f t="shared" si="8"/>
        <v>0.004424778761</v>
      </c>
      <c r="C81" s="111">
        <f t="shared" si="9"/>
        <v>1</v>
      </c>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87">
        <v>1.0</v>
      </c>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30"/>
      <c r="EJ81" s="30"/>
      <c r="EK81" s="30"/>
      <c r="EL81" s="30"/>
      <c r="EM81" s="30"/>
      <c r="EN81" s="30"/>
      <c r="EO81" s="30"/>
      <c r="EP81" s="30"/>
      <c r="EQ81" s="30"/>
      <c r="ER81" s="30"/>
      <c r="ES81" s="30"/>
      <c r="ET81" s="30"/>
      <c r="EU81" s="30"/>
      <c r="EV81" s="30"/>
      <c r="EW81" s="30"/>
      <c r="EX81" s="30"/>
      <c r="EY81" s="30"/>
      <c r="EZ81" s="30"/>
      <c r="FA81" s="30"/>
      <c r="FB81" s="30"/>
      <c r="FC81" s="30"/>
      <c r="FD81" s="30"/>
      <c r="FE81" s="30"/>
      <c r="FF81" s="30"/>
      <c r="FG81" s="30"/>
      <c r="FH81" s="30"/>
      <c r="FI81" s="30"/>
      <c r="FJ81" s="30"/>
      <c r="FK81" s="30"/>
      <c r="FL81" s="30"/>
      <c r="FM81" s="30"/>
      <c r="FN81" s="30"/>
      <c r="FO81" s="30"/>
      <c r="FP81" s="30"/>
      <c r="FQ81" s="30"/>
      <c r="FR81" s="30"/>
      <c r="FS81" s="30"/>
      <c r="FT81" s="30"/>
      <c r="FU81" s="30"/>
      <c r="FV81" s="30"/>
      <c r="FW81" s="30"/>
      <c r="FX81" s="30"/>
      <c r="FY81" s="30"/>
      <c r="FZ81" s="30"/>
      <c r="GA81" s="30"/>
      <c r="GB81" s="30"/>
      <c r="GC81" s="30"/>
      <c r="GD81" s="30"/>
      <c r="GE81" s="30"/>
      <c r="GF81" s="30"/>
      <c r="GG81" s="30"/>
      <c r="GH81" s="30"/>
      <c r="GI81" s="30"/>
      <c r="GJ81" s="30"/>
      <c r="GK81" s="30"/>
      <c r="GL81" s="30"/>
      <c r="GM81" s="30"/>
      <c r="GN81" s="30"/>
      <c r="GO81" s="30"/>
      <c r="GP81" s="30"/>
      <c r="GQ81" s="30"/>
      <c r="GR81" s="30"/>
      <c r="GS81" s="30"/>
      <c r="GT81" s="30"/>
      <c r="GU81" s="30"/>
      <c r="GV81" s="30"/>
      <c r="GW81" s="30"/>
      <c r="GX81" s="30"/>
      <c r="GY81" s="30"/>
      <c r="GZ81" s="30"/>
      <c r="HA81" s="30"/>
      <c r="HB81" s="30"/>
      <c r="HC81" s="30"/>
      <c r="HD81" s="30"/>
      <c r="HE81" s="30"/>
    </row>
    <row r="82">
      <c r="A82" s="9" t="s">
        <v>113</v>
      </c>
      <c r="B82" s="118">
        <f t="shared" si="8"/>
        <v>0.008849557522</v>
      </c>
      <c r="C82" s="111">
        <f t="shared" si="9"/>
        <v>2</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87">
        <v>3.0</v>
      </c>
      <c r="BG82" s="30"/>
      <c r="BH82" s="30"/>
      <c r="BI82" s="30"/>
      <c r="BJ82" s="30"/>
      <c r="BK82" s="30"/>
      <c r="BL82" s="30"/>
      <c r="BM82" s="30"/>
      <c r="BN82" s="30"/>
      <c r="BO82" s="30"/>
      <c r="BP82" s="30"/>
      <c r="BQ82" s="87">
        <v>1.0</v>
      </c>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30"/>
      <c r="EJ82" s="30"/>
      <c r="EK82" s="30"/>
      <c r="EL82" s="30"/>
      <c r="EM82" s="30"/>
      <c r="EN82" s="30"/>
      <c r="EO82" s="30"/>
      <c r="EP82" s="30"/>
      <c r="EQ82" s="30"/>
      <c r="ER82" s="30"/>
      <c r="ES82" s="30"/>
      <c r="ET82" s="30"/>
      <c r="EU82" s="30"/>
      <c r="EV82" s="30"/>
      <c r="EW82" s="30"/>
      <c r="EX82" s="30"/>
      <c r="EY82" s="30"/>
      <c r="EZ82" s="30"/>
      <c r="FA82" s="30"/>
      <c r="FB82" s="30"/>
      <c r="FC82" s="30"/>
      <c r="FD82" s="30"/>
      <c r="FE82" s="30"/>
      <c r="FF82" s="30"/>
      <c r="FG82" s="30"/>
      <c r="FH82" s="30"/>
      <c r="FI82" s="30"/>
      <c r="FJ82" s="30"/>
      <c r="FK82" s="30"/>
      <c r="FL82" s="30"/>
      <c r="FM82" s="30"/>
      <c r="FN82" s="30"/>
      <c r="FO82" s="30"/>
      <c r="FP82" s="30"/>
      <c r="FQ82" s="30"/>
      <c r="FR82" s="30"/>
      <c r="FS82" s="30"/>
      <c r="FT82" s="30"/>
      <c r="FU82" s="30"/>
      <c r="FV82" s="30"/>
      <c r="FW82" s="30"/>
      <c r="FX82" s="30"/>
      <c r="FY82" s="30"/>
      <c r="FZ82" s="30"/>
      <c r="GA82" s="30"/>
      <c r="GB82" s="30"/>
      <c r="GC82" s="30"/>
      <c r="GD82" s="30"/>
      <c r="GE82" s="30"/>
      <c r="GF82" s="30"/>
      <c r="GG82" s="30"/>
      <c r="GH82" s="30"/>
      <c r="GI82" s="30"/>
      <c r="GJ82" s="30"/>
      <c r="GK82" s="30"/>
      <c r="GL82" s="30"/>
      <c r="GM82" s="30"/>
      <c r="GN82" s="30"/>
      <c r="GO82" s="30"/>
      <c r="GP82" s="30"/>
      <c r="GQ82" s="30"/>
      <c r="GR82" s="30"/>
      <c r="GS82" s="30"/>
      <c r="GT82" s="30"/>
      <c r="GU82" s="30"/>
      <c r="GV82" s="30"/>
      <c r="GW82" s="30"/>
      <c r="GX82" s="30"/>
      <c r="GY82" s="30"/>
      <c r="GZ82" s="30"/>
      <c r="HA82" s="30"/>
      <c r="HB82" s="30"/>
      <c r="HC82" s="30"/>
      <c r="HD82" s="30"/>
      <c r="HE82" s="30"/>
    </row>
    <row r="83">
      <c r="A83" s="9" t="s">
        <v>136</v>
      </c>
      <c r="B83" s="118">
        <f t="shared" si="8"/>
        <v>0.004424778761</v>
      </c>
      <c r="C83" s="111">
        <f t="shared" si="9"/>
        <v>1</v>
      </c>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87">
        <v>3.0</v>
      </c>
      <c r="CA83" s="112"/>
      <c r="CB83" s="112"/>
      <c r="CC83" s="112"/>
      <c r="CD83" s="112"/>
      <c r="CE83" s="112"/>
      <c r="CF83" s="112"/>
      <c r="CG83" s="112"/>
      <c r="CH83" s="112"/>
      <c r="CI83" s="112"/>
      <c r="CJ83" s="112"/>
      <c r="CK83" s="112"/>
      <c r="CL83" s="112"/>
      <c r="CM83" s="112"/>
      <c r="CN83" s="112"/>
      <c r="CO83" s="112"/>
      <c r="CP83" s="112"/>
      <c r="CQ83" s="112"/>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87"/>
      <c r="EO83" s="87"/>
      <c r="EP83" s="87"/>
      <c r="EQ83" s="87"/>
      <c r="ER83" s="87"/>
      <c r="ES83" s="87"/>
      <c r="ET83" s="87"/>
      <c r="EU83" s="87"/>
      <c r="EV83" s="87"/>
      <c r="EW83" s="87"/>
      <c r="EX83" s="87"/>
      <c r="EY83" s="87"/>
      <c r="EZ83" s="87"/>
      <c r="FA83" s="87"/>
      <c r="FB83" s="87"/>
      <c r="FC83" s="87"/>
      <c r="FD83" s="87"/>
      <c r="FE83" s="87"/>
      <c r="FF83" s="87"/>
      <c r="FG83" s="87"/>
      <c r="FH83" s="87"/>
      <c r="FI83" s="87"/>
      <c r="FJ83" s="87"/>
      <c r="FK83" s="87"/>
      <c r="FL83" s="87"/>
      <c r="FM83" s="87"/>
      <c r="FN83" s="87"/>
      <c r="FO83" s="87"/>
      <c r="FP83" s="87"/>
      <c r="FQ83" s="87"/>
      <c r="FR83" s="87"/>
      <c r="FS83" s="87"/>
      <c r="FT83" s="87"/>
      <c r="FU83" s="87"/>
      <c r="FV83" s="87"/>
      <c r="FW83" s="87"/>
      <c r="FX83" s="87"/>
      <c r="FY83" s="87"/>
      <c r="FZ83" s="87"/>
      <c r="GA83" s="87"/>
      <c r="GB83" s="87"/>
      <c r="GC83" s="87"/>
      <c r="GD83" s="87"/>
      <c r="GE83" s="87"/>
      <c r="GF83" s="87"/>
      <c r="GG83" s="87"/>
      <c r="GH83" s="87"/>
      <c r="GI83" s="87"/>
      <c r="GJ83" s="87"/>
      <c r="GK83" s="87"/>
      <c r="GL83" s="87"/>
      <c r="GM83" s="87"/>
      <c r="GN83" s="87"/>
      <c r="GO83" s="87"/>
      <c r="GP83" s="87"/>
      <c r="GQ83" s="87"/>
      <c r="GR83" s="87"/>
      <c r="GS83" s="87"/>
      <c r="GT83" s="87"/>
      <c r="GU83" s="87"/>
      <c r="GV83" s="87"/>
      <c r="GW83" s="87"/>
      <c r="GX83" s="87"/>
      <c r="GY83" s="87"/>
      <c r="GZ83" s="87"/>
      <c r="HA83" s="87"/>
      <c r="HB83" s="87"/>
      <c r="HC83" s="87"/>
      <c r="HD83" s="87"/>
      <c r="HE83" s="87"/>
    </row>
    <row r="84">
      <c r="A84" s="9" t="s">
        <v>93</v>
      </c>
      <c r="B84" s="118">
        <f t="shared" si="8"/>
        <v>0.01769911504</v>
      </c>
      <c r="C84" s="111">
        <f t="shared" si="9"/>
        <v>4</v>
      </c>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87">
        <v>3.0</v>
      </c>
      <c r="BN84" s="30"/>
      <c r="BO84" s="30"/>
      <c r="BP84" s="30"/>
      <c r="BQ84" s="30"/>
      <c r="BR84" s="30"/>
      <c r="BS84" s="30"/>
      <c r="BT84" s="30"/>
      <c r="BU84" s="30"/>
      <c r="BV84" s="30"/>
      <c r="BW84" s="30"/>
      <c r="BX84" s="30"/>
      <c r="BY84" s="30"/>
      <c r="BZ84" s="30"/>
      <c r="CA84" s="30"/>
      <c r="CB84" s="30"/>
      <c r="CC84" s="30"/>
      <c r="CD84" s="30"/>
      <c r="CE84" s="30"/>
      <c r="CF84" s="87">
        <v>4.0</v>
      </c>
      <c r="CG84" s="30"/>
      <c r="CH84" s="30"/>
      <c r="CI84" s="30"/>
      <c r="CJ84" s="87">
        <v>3.0</v>
      </c>
      <c r="CK84" s="30"/>
      <c r="CL84" s="30"/>
      <c r="CM84" s="30"/>
      <c r="CN84" s="30"/>
      <c r="CO84" s="30"/>
      <c r="CP84" s="30"/>
      <c r="CQ84" s="87">
        <v>2.0</v>
      </c>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30"/>
      <c r="EJ84" s="30"/>
      <c r="EK84" s="30"/>
      <c r="EL84" s="30"/>
      <c r="EM84" s="30"/>
      <c r="EN84" s="30"/>
      <c r="EO84" s="30"/>
      <c r="EP84" s="30"/>
      <c r="EQ84" s="30"/>
      <c r="ER84" s="30"/>
      <c r="ES84" s="30"/>
      <c r="ET84" s="30"/>
      <c r="EU84" s="30"/>
      <c r="EV84" s="30"/>
      <c r="EW84" s="30"/>
      <c r="EX84" s="30"/>
      <c r="EY84" s="30"/>
      <c r="EZ84" s="30"/>
      <c r="FA84" s="30"/>
      <c r="FB84" s="30"/>
      <c r="FC84" s="30"/>
      <c r="FD84" s="30"/>
      <c r="FE84" s="30"/>
      <c r="FF84" s="30"/>
      <c r="FG84" s="30"/>
      <c r="FH84" s="30"/>
      <c r="FI84" s="30"/>
      <c r="FJ84" s="30"/>
      <c r="FK84" s="30"/>
      <c r="FL84" s="30"/>
      <c r="FM84" s="30"/>
      <c r="FN84" s="30"/>
      <c r="FO84" s="30"/>
      <c r="FP84" s="30"/>
      <c r="FQ84" s="30"/>
      <c r="FR84" s="30"/>
      <c r="FS84" s="30"/>
      <c r="FT84" s="30"/>
      <c r="FU84" s="30"/>
      <c r="FV84" s="30"/>
      <c r="FW84" s="30"/>
      <c r="FX84" s="30"/>
      <c r="FY84" s="30"/>
      <c r="FZ84" s="30"/>
      <c r="GA84" s="30"/>
      <c r="GB84" s="30"/>
      <c r="GC84" s="30"/>
      <c r="GD84" s="30"/>
      <c r="GE84" s="30"/>
      <c r="GF84" s="30"/>
      <c r="GG84" s="30"/>
      <c r="GH84" s="30"/>
      <c r="GI84" s="30"/>
      <c r="GJ84" s="30"/>
      <c r="GK84" s="30"/>
      <c r="GL84" s="30"/>
      <c r="GM84" s="30"/>
      <c r="GN84" s="30"/>
      <c r="GO84" s="30"/>
      <c r="GP84" s="30"/>
      <c r="GQ84" s="30"/>
      <c r="GR84" s="30"/>
      <c r="GS84" s="30"/>
      <c r="GT84" s="30"/>
      <c r="GU84" s="30"/>
      <c r="GV84" s="30"/>
      <c r="GW84" s="30"/>
      <c r="GX84" s="30"/>
      <c r="GY84" s="30"/>
      <c r="GZ84" s="30"/>
      <c r="HA84" s="30"/>
      <c r="HB84" s="30"/>
      <c r="HC84" s="30"/>
      <c r="HD84" s="30"/>
      <c r="HE84" s="30"/>
    </row>
    <row r="85">
      <c r="A85" s="9" t="s">
        <v>114</v>
      </c>
      <c r="B85" s="118">
        <f t="shared" si="8"/>
        <v>0.008849557522</v>
      </c>
      <c r="C85" s="111">
        <f t="shared" si="9"/>
        <v>2</v>
      </c>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87">
        <v>2.0</v>
      </c>
      <c r="BJ85" s="30"/>
      <c r="BK85" s="30"/>
      <c r="BL85" s="30"/>
      <c r="BM85" s="30"/>
      <c r="BN85" s="30"/>
      <c r="BO85" s="30"/>
      <c r="BP85" s="30"/>
      <c r="BQ85" s="30"/>
      <c r="BR85" s="30"/>
      <c r="BS85" s="30"/>
      <c r="BT85" s="30"/>
      <c r="BU85" s="30"/>
      <c r="BV85" s="30"/>
      <c r="BW85" s="30"/>
      <c r="BX85" s="30"/>
      <c r="BY85" s="30"/>
      <c r="BZ85" s="30"/>
      <c r="CA85" s="87">
        <v>1.0</v>
      </c>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30"/>
      <c r="EO85" s="30"/>
      <c r="EP85" s="30"/>
      <c r="EQ85" s="30"/>
      <c r="ER85" s="30"/>
      <c r="ES85" s="30"/>
      <c r="ET85" s="30"/>
      <c r="EU85" s="30"/>
      <c r="EV85" s="30"/>
      <c r="EW85" s="30"/>
      <c r="EX85" s="30"/>
      <c r="EY85" s="30"/>
      <c r="EZ85" s="30"/>
      <c r="FA85" s="30"/>
      <c r="FB85" s="30"/>
      <c r="FC85" s="30"/>
      <c r="FD85" s="30"/>
      <c r="FE85" s="30"/>
      <c r="FF85" s="30"/>
      <c r="FG85" s="30"/>
      <c r="FH85" s="30"/>
      <c r="FI85" s="30"/>
      <c r="FJ85" s="30"/>
      <c r="FK85" s="30"/>
      <c r="FL85" s="30"/>
      <c r="FM85" s="30"/>
      <c r="FN85" s="30"/>
      <c r="FO85" s="30"/>
      <c r="FP85" s="30"/>
      <c r="FQ85" s="30"/>
      <c r="FR85" s="30"/>
      <c r="FS85" s="30"/>
      <c r="FT85" s="30"/>
      <c r="FU85" s="30"/>
      <c r="FV85" s="30"/>
      <c r="FW85" s="30"/>
      <c r="FX85" s="30"/>
      <c r="FY85" s="30"/>
      <c r="FZ85" s="30"/>
      <c r="GA85" s="30"/>
      <c r="GB85" s="30"/>
      <c r="GC85" s="30"/>
      <c r="GD85" s="30"/>
      <c r="GE85" s="30"/>
      <c r="GF85" s="30"/>
      <c r="GG85" s="30"/>
      <c r="GH85" s="30"/>
      <c r="GI85" s="30"/>
      <c r="GJ85" s="30"/>
      <c r="GK85" s="30"/>
      <c r="GL85" s="30"/>
      <c r="GM85" s="30"/>
      <c r="GN85" s="30"/>
      <c r="GO85" s="30"/>
      <c r="GP85" s="30"/>
      <c r="GQ85" s="30"/>
      <c r="GR85" s="30"/>
      <c r="GS85" s="30"/>
      <c r="GT85" s="30"/>
      <c r="GU85" s="30"/>
      <c r="GV85" s="30"/>
      <c r="GW85" s="30"/>
      <c r="GX85" s="30"/>
      <c r="GY85" s="30"/>
      <c r="GZ85" s="30"/>
      <c r="HA85" s="30"/>
      <c r="HB85" s="30"/>
      <c r="HC85" s="30"/>
      <c r="HD85" s="30"/>
      <c r="HE85" s="30"/>
    </row>
    <row r="86">
      <c r="A86" s="91" t="s">
        <v>137</v>
      </c>
      <c r="B86" s="118">
        <f t="shared" si="8"/>
        <v>0.01769911504</v>
      </c>
      <c r="C86" s="111">
        <f t="shared" si="9"/>
        <v>4</v>
      </c>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87">
        <v>2.0</v>
      </c>
      <c r="BH86" s="30"/>
      <c r="BI86" s="87">
        <v>1.0</v>
      </c>
      <c r="BJ86" s="30"/>
      <c r="BK86" s="30"/>
      <c r="BL86" s="30"/>
      <c r="BM86" s="30"/>
      <c r="BN86" s="30"/>
      <c r="BO86" s="30"/>
      <c r="BP86" s="30"/>
      <c r="BQ86" s="30"/>
      <c r="BR86" s="87" t="s">
        <v>334</v>
      </c>
      <c r="BS86" s="30"/>
      <c r="BT86" s="30"/>
      <c r="BU86" s="30"/>
      <c r="BV86" s="30"/>
      <c r="BW86" s="30"/>
      <c r="BX86" s="30"/>
      <c r="BY86" s="30"/>
      <c r="BZ86" s="30"/>
      <c r="CA86" s="30"/>
      <c r="CB86" s="30"/>
      <c r="CC86" s="30"/>
      <c r="CD86" s="30"/>
      <c r="CE86" s="30"/>
      <c r="CF86" s="30"/>
      <c r="CG86" s="87">
        <v>3.0</v>
      </c>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30"/>
      <c r="EJ86" s="30"/>
      <c r="EK86" s="30"/>
      <c r="EL86" s="30"/>
      <c r="EM86" s="30"/>
      <c r="EN86" s="30"/>
      <c r="EO86" s="30"/>
      <c r="EP86" s="30"/>
      <c r="EQ86" s="30"/>
      <c r="ER86" s="30"/>
      <c r="ES86" s="30"/>
      <c r="ET86" s="30"/>
      <c r="EU86" s="30"/>
      <c r="EV86" s="30"/>
      <c r="EW86" s="30"/>
      <c r="EX86" s="30"/>
      <c r="EY86" s="30"/>
      <c r="EZ86" s="30"/>
      <c r="FA86" s="30"/>
      <c r="FB86" s="30"/>
      <c r="FC86" s="30"/>
      <c r="FD86" s="30"/>
      <c r="FE86" s="30"/>
      <c r="FF86" s="30"/>
      <c r="FG86" s="30"/>
      <c r="FH86" s="30"/>
      <c r="FI86" s="30"/>
      <c r="FJ86" s="30"/>
      <c r="FK86" s="30"/>
      <c r="FL86" s="30"/>
      <c r="FM86" s="30"/>
      <c r="FN86" s="30"/>
      <c r="FO86" s="30"/>
      <c r="FP86" s="30"/>
      <c r="FQ86" s="30"/>
      <c r="FR86" s="30"/>
      <c r="FS86" s="30"/>
      <c r="FT86" s="30"/>
      <c r="FU86" s="30"/>
      <c r="FV86" s="30"/>
      <c r="FW86" s="30"/>
      <c r="FX86" s="30"/>
      <c r="FY86" s="30"/>
      <c r="FZ86" s="30"/>
      <c r="GA86" s="30"/>
      <c r="GB86" s="30"/>
      <c r="GC86" s="30"/>
      <c r="GD86" s="30"/>
      <c r="GE86" s="30"/>
      <c r="GF86" s="30"/>
      <c r="GG86" s="30"/>
      <c r="GH86" s="30"/>
      <c r="GI86" s="30"/>
      <c r="GJ86" s="30"/>
      <c r="GK86" s="30"/>
      <c r="GL86" s="30"/>
      <c r="GM86" s="30"/>
      <c r="GN86" s="30"/>
      <c r="GO86" s="30"/>
      <c r="GP86" s="30"/>
      <c r="GQ86" s="30"/>
      <c r="GR86" s="30"/>
      <c r="GS86" s="30"/>
      <c r="GT86" s="30"/>
      <c r="GU86" s="30"/>
      <c r="GV86" s="30"/>
      <c r="GW86" s="30"/>
      <c r="GX86" s="30"/>
      <c r="GY86" s="30"/>
      <c r="GZ86" s="30"/>
      <c r="HA86" s="30"/>
      <c r="HB86" s="30"/>
      <c r="HC86" s="30"/>
      <c r="HD86" s="30"/>
      <c r="HE86" s="30"/>
    </row>
    <row r="87">
      <c r="A87" s="9" t="s">
        <v>95</v>
      </c>
      <c r="B87" s="118">
        <f t="shared" si="8"/>
        <v>0.02212389381</v>
      </c>
      <c r="C87" s="111">
        <f t="shared" si="9"/>
        <v>5</v>
      </c>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87">
        <v>1.0</v>
      </c>
      <c r="BD87" s="30"/>
      <c r="BE87" s="30"/>
      <c r="BF87" s="30"/>
      <c r="BG87" s="30"/>
      <c r="BH87" s="87">
        <v>2.0</v>
      </c>
      <c r="BI87" s="30"/>
      <c r="BJ87" s="30"/>
      <c r="BK87" s="30"/>
      <c r="BL87" s="30"/>
      <c r="BM87" s="30"/>
      <c r="BN87" s="30"/>
      <c r="BO87" s="30"/>
      <c r="BP87" s="30"/>
      <c r="BQ87" s="87">
        <v>1.0</v>
      </c>
      <c r="BR87" s="30"/>
      <c r="BS87" s="30"/>
      <c r="BT87" s="30"/>
      <c r="BU87" s="30"/>
      <c r="BV87" s="30"/>
      <c r="BW87" s="30"/>
      <c r="BX87" s="30"/>
      <c r="BY87" s="87">
        <v>2.0</v>
      </c>
      <c r="BZ87" s="30"/>
      <c r="CA87" s="30"/>
      <c r="CB87" s="30"/>
      <c r="CC87" s="30"/>
      <c r="CD87" s="30"/>
      <c r="CE87" s="30"/>
      <c r="CF87" s="30"/>
      <c r="CG87" s="30"/>
      <c r="CH87" s="30"/>
      <c r="CI87" s="30"/>
      <c r="CJ87" s="87">
        <v>2.0</v>
      </c>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30"/>
      <c r="EJ87" s="30"/>
      <c r="EK87" s="30"/>
      <c r="EL87" s="30"/>
      <c r="EM87" s="30"/>
      <c r="EN87" s="30"/>
      <c r="EO87" s="30"/>
      <c r="EP87" s="30"/>
      <c r="EQ87" s="30"/>
      <c r="ER87" s="30"/>
      <c r="ES87" s="30"/>
      <c r="ET87" s="30"/>
      <c r="EU87" s="30"/>
      <c r="EV87" s="30"/>
      <c r="EW87" s="30"/>
      <c r="EX87" s="30"/>
      <c r="EY87" s="30"/>
      <c r="EZ87" s="30"/>
      <c r="FA87" s="30"/>
      <c r="FB87" s="30"/>
      <c r="FC87" s="30"/>
      <c r="FD87" s="30"/>
      <c r="FE87" s="30"/>
      <c r="FF87" s="30"/>
      <c r="FG87" s="30"/>
      <c r="FH87" s="30"/>
      <c r="FI87" s="30"/>
      <c r="FJ87" s="30"/>
      <c r="FK87" s="30"/>
      <c r="FL87" s="30"/>
      <c r="FM87" s="30"/>
      <c r="FN87" s="30"/>
      <c r="FO87" s="30"/>
      <c r="FP87" s="30"/>
      <c r="FQ87" s="30"/>
      <c r="FR87" s="30"/>
      <c r="FS87" s="30"/>
      <c r="FT87" s="30"/>
      <c r="FU87" s="30"/>
      <c r="FV87" s="30"/>
      <c r="FW87" s="30"/>
      <c r="FX87" s="30"/>
      <c r="FY87" s="30"/>
      <c r="FZ87" s="30"/>
      <c r="GA87" s="30"/>
      <c r="GB87" s="30"/>
      <c r="GC87" s="30"/>
      <c r="GD87" s="30"/>
      <c r="GE87" s="30"/>
      <c r="GF87" s="30"/>
      <c r="GG87" s="30"/>
      <c r="GH87" s="30"/>
      <c r="GI87" s="30"/>
      <c r="GJ87" s="30"/>
      <c r="GK87" s="30"/>
      <c r="GL87" s="30"/>
      <c r="GM87" s="30"/>
      <c r="GN87" s="30"/>
      <c r="GO87" s="30"/>
      <c r="GP87" s="30"/>
      <c r="GQ87" s="30"/>
      <c r="GR87" s="30"/>
      <c r="GS87" s="30"/>
      <c r="GT87" s="30"/>
      <c r="GU87" s="30"/>
      <c r="GV87" s="30"/>
      <c r="GW87" s="30"/>
      <c r="GX87" s="30"/>
      <c r="GY87" s="30"/>
      <c r="GZ87" s="30"/>
      <c r="HA87" s="30"/>
      <c r="HB87" s="30"/>
      <c r="HC87" s="30"/>
      <c r="HD87" s="30"/>
      <c r="HE87" s="30"/>
    </row>
    <row r="88">
      <c r="A88" s="9" t="s">
        <v>115</v>
      </c>
      <c r="B88" s="118">
        <f t="shared" si="8"/>
        <v>0.03097345133</v>
      </c>
      <c r="C88" s="111">
        <f t="shared" si="9"/>
        <v>7</v>
      </c>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87">
        <v>3.0</v>
      </c>
      <c r="BE88" s="87">
        <v>3.0</v>
      </c>
      <c r="BF88" s="30"/>
      <c r="BG88" s="30"/>
      <c r="BH88" s="30"/>
      <c r="BI88" s="30"/>
      <c r="BJ88" s="30"/>
      <c r="BK88" s="30"/>
      <c r="BL88" s="30"/>
      <c r="BM88" s="30"/>
      <c r="BN88" s="87">
        <v>1.0</v>
      </c>
      <c r="BO88" s="30"/>
      <c r="BP88" s="30"/>
      <c r="BQ88" s="30"/>
      <c r="BR88" s="30"/>
      <c r="BS88" s="87">
        <v>1.0</v>
      </c>
      <c r="BT88" s="30"/>
      <c r="BU88" s="30"/>
      <c r="BV88" s="30"/>
      <c r="BW88" s="30"/>
      <c r="BX88" s="30"/>
      <c r="BY88" s="30"/>
      <c r="BZ88" s="30"/>
      <c r="CA88" s="30"/>
      <c r="CB88" s="87">
        <v>4.0</v>
      </c>
      <c r="CC88" s="30"/>
      <c r="CD88" s="87">
        <v>2.0</v>
      </c>
      <c r="CE88" s="30"/>
      <c r="CF88" s="30"/>
      <c r="CG88" s="30"/>
      <c r="CH88" s="30"/>
      <c r="CI88" s="30"/>
      <c r="CJ88" s="30"/>
      <c r="CK88" s="87">
        <v>1.0</v>
      </c>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0"/>
      <c r="EM88" s="30"/>
      <c r="EN88" s="30"/>
      <c r="EO88" s="30"/>
      <c r="EP88" s="30"/>
      <c r="EQ88" s="30"/>
      <c r="ER88" s="30"/>
      <c r="ES88" s="30"/>
      <c r="ET88" s="30"/>
      <c r="EU88" s="30"/>
      <c r="EV88" s="30"/>
      <c r="EW88" s="30"/>
      <c r="EX88" s="30"/>
      <c r="EY88" s="30"/>
      <c r="EZ88" s="30"/>
      <c r="FA88" s="30"/>
      <c r="FB88" s="30"/>
      <c r="FC88" s="30"/>
      <c r="FD88" s="30"/>
      <c r="FE88" s="30"/>
      <c r="FF88" s="30"/>
      <c r="FG88" s="30"/>
      <c r="FH88" s="30"/>
      <c r="FI88" s="30"/>
      <c r="FJ88" s="30"/>
      <c r="FK88" s="30"/>
      <c r="FL88" s="30"/>
      <c r="FM88" s="30"/>
      <c r="FN88" s="30"/>
      <c r="FO88" s="30"/>
      <c r="FP88" s="30"/>
      <c r="FQ88" s="30"/>
      <c r="FR88" s="30"/>
      <c r="FS88" s="30"/>
      <c r="FT88" s="30"/>
      <c r="FU88" s="30"/>
      <c r="FV88" s="30"/>
      <c r="FW88" s="30"/>
      <c r="FX88" s="30"/>
      <c r="FY88" s="30"/>
      <c r="FZ88" s="30"/>
      <c r="GA88" s="30"/>
      <c r="GB88" s="30"/>
      <c r="GC88" s="30"/>
      <c r="GD88" s="30"/>
      <c r="GE88" s="30"/>
      <c r="GF88" s="30"/>
      <c r="GG88" s="30"/>
      <c r="GH88" s="30"/>
      <c r="GI88" s="30"/>
      <c r="GJ88" s="30"/>
      <c r="GK88" s="30"/>
      <c r="GL88" s="30"/>
      <c r="GM88" s="30"/>
      <c r="GN88" s="30"/>
      <c r="GO88" s="30"/>
      <c r="GP88" s="30"/>
      <c r="GQ88" s="30"/>
      <c r="GR88" s="30"/>
      <c r="GS88" s="30"/>
      <c r="GT88" s="30"/>
      <c r="GU88" s="30"/>
      <c r="GV88" s="30"/>
      <c r="GW88" s="30"/>
      <c r="GX88" s="30"/>
      <c r="GY88" s="30"/>
      <c r="GZ88" s="30"/>
      <c r="HA88" s="30"/>
      <c r="HB88" s="30"/>
      <c r="HC88" s="30"/>
      <c r="HD88" s="30"/>
      <c r="HE88" s="30"/>
    </row>
    <row r="89">
      <c r="A89" s="9" t="s">
        <v>138</v>
      </c>
      <c r="B89" s="118">
        <f t="shared" si="8"/>
        <v>0</v>
      </c>
      <c r="C89" s="111">
        <f t="shared" si="9"/>
        <v>0</v>
      </c>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0"/>
      <c r="EM89" s="30"/>
      <c r="EN89" s="30"/>
      <c r="EO89" s="30"/>
      <c r="EP89" s="30"/>
      <c r="EQ89" s="30"/>
      <c r="ER89" s="30"/>
      <c r="ES89" s="30"/>
      <c r="ET89" s="30"/>
      <c r="EU89" s="30"/>
      <c r="EV89" s="30"/>
      <c r="EW89" s="30"/>
      <c r="EX89" s="30"/>
      <c r="EY89" s="30"/>
      <c r="EZ89" s="30"/>
      <c r="FA89" s="30"/>
      <c r="FB89" s="30"/>
      <c r="FC89" s="30"/>
      <c r="FD89" s="30"/>
      <c r="FE89" s="30"/>
      <c r="FF89" s="30"/>
      <c r="FG89" s="30"/>
      <c r="FH89" s="30"/>
      <c r="FI89" s="30"/>
      <c r="FJ89" s="30"/>
      <c r="FK89" s="30"/>
      <c r="FL89" s="30"/>
      <c r="FM89" s="30"/>
      <c r="FN89" s="30"/>
      <c r="FO89" s="30"/>
      <c r="FP89" s="30"/>
      <c r="FQ89" s="30"/>
      <c r="FR89" s="30"/>
      <c r="FS89" s="30"/>
      <c r="FT89" s="30"/>
      <c r="FU89" s="30"/>
      <c r="FV89" s="30"/>
      <c r="FW89" s="30"/>
      <c r="FX89" s="30"/>
      <c r="FY89" s="30"/>
      <c r="FZ89" s="30"/>
      <c r="GA89" s="30"/>
      <c r="GB89" s="30"/>
      <c r="GC89" s="30"/>
      <c r="GD89" s="30"/>
      <c r="GE89" s="30"/>
      <c r="GF89" s="30"/>
      <c r="GG89" s="30"/>
      <c r="GH89" s="30"/>
      <c r="GI89" s="30"/>
      <c r="GJ89" s="30"/>
      <c r="GK89" s="30"/>
      <c r="GL89" s="30"/>
      <c r="GM89" s="30"/>
      <c r="GN89" s="30"/>
      <c r="GO89" s="30"/>
      <c r="GP89" s="30"/>
      <c r="GQ89" s="30"/>
      <c r="GR89" s="30"/>
      <c r="GS89" s="30"/>
      <c r="GT89" s="30"/>
      <c r="GU89" s="30"/>
      <c r="GV89" s="30"/>
      <c r="GW89" s="30"/>
      <c r="GX89" s="30"/>
      <c r="GY89" s="30"/>
      <c r="GZ89" s="30"/>
      <c r="HA89" s="30"/>
      <c r="HB89" s="30"/>
      <c r="HC89" s="30"/>
      <c r="HD89" s="30"/>
      <c r="HE89" s="30"/>
    </row>
    <row r="90">
      <c r="A90" s="9" t="s">
        <v>96</v>
      </c>
      <c r="B90" s="118">
        <f t="shared" si="8"/>
        <v>0.02212389381</v>
      </c>
      <c r="C90" s="111">
        <f t="shared" si="9"/>
        <v>5</v>
      </c>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87">
        <v>1.0</v>
      </c>
      <c r="BC90" s="30"/>
      <c r="BD90" s="30"/>
      <c r="BE90" s="30"/>
      <c r="BF90" s="30"/>
      <c r="BG90" s="30"/>
      <c r="BH90" s="30"/>
      <c r="BI90" s="30"/>
      <c r="BJ90" s="87">
        <v>4.0</v>
      </c>
      <c r="BK90" s="87">
        <v>1.0</v>
      </c>
      <c r="BL90" s="30"/>
      <c r="BM90" s="30"/>
      <c r="BN90" s="30"/>
      <c r="BO90" s="30"/>
      <c r="BP90" s="30"/>
      <c r="BQ90" s="30"/>
      <c r="BR90" s="87">
        <v>1.0</v>
      </c>
      <c r="BS90" s="30"/>
      <c r="BT90" s="30"/>
      <c r="BU90" s="30"/>
      <c r="BV90" s="30"/>
      <c r="BW90" s="87">
        <v>3.0</v>
      </c>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30"/>
      <c r="EO90" s="30"/>
      <c r="EP90" s="30"/>
      <c r="EQ90" s="30"/>
      <c r="ER90" s="30"/>
      <c r="ES90" s="30"/>
      <c r="ET90" s="30"/>
      <c r="EU90" s="30"/>
      <c r="EV90" s="30"/>
      <c r="EW90" s="30"/>
      <c r="EX90" s="30"/>
      <c r="EY90" s="30"/>
      <c r="EZ90" s="30"/>
      <c r="FA90" s="30"/>
      <c r="FB90" s="30"/>
      <c r="FC90" s="30"/>
      <c r="FD90" s="30"/>
      <c r="FE90" s="30"/>
      <c r="FF90" s="30"/>
      <c r="FG90" s="30"/>
      <c r="FH90" s="30"/>
      <c r="FI90" s="30"/>
      <c r="FJ90" s="30"/>
      <c r="FK90" s="30"/>
      <c r="FL90" s="30"/>
      <c r="FM90" s="30"/>
      <c r="FN90" s="30"/>
      <c r="FO90" s="30"/>
      <c r="FP90" s="30"/>
      <c r="FQ90" s="30"/>
      <c r="FR90" s="30"/>
      <c r="FS90" s="30"/>
      <c r="FT90" s="30"/>
      <c r="FU90" s="30"/>
      <c r="FV90" s="30"/>
      <c r="FW90" s="30"/>
      <c r="FX90" s="30"/>
      <c r="FY90" s="30"/>
      <c r="FZ90" s="30"/>
      <c r="GA90" s="30"/>
      <c r="GB90" s="30"/>
      <c r="GC90" s="30"/>
      <c r="GD90" s="30"/>
      <c r="GE90" s="30"/>
      <c r="GF90" s="30"/>
      <c r="GG90" s="30"/>
      <c r="GH90" s="30"/>
      <c r="GI90" s="30"/>
      <c r="GJ90" s="30"/>
      <c r="GK90" s="30"/>
      <c r="GL90" s="30"/>
      <c r="GM90" s="30"/>
      <c r="GN90" s="30"/>
      <c r="GO90" s="30"/>
      <c r="GP90" s="30"/>
      <c r="GQ90" s="30"/>
      <c r="GR90" s="30"/>
      <c r="GS90" s="30"/>
      <c r="GT90" s="30"/>
      <c r="GU90" s="30"/>
      <c r="GV90" s="30"/>
      <c r="GW90" s="30"/>
      <c r="GX90" s="30"/>
      <c r="GY90" s="30"/>
      <c r="GZ90" s="30"/>
      <c r="HA90" s="30"/>
      <c r="HB90" s="30"/>
      <c r="HC90" s="30"/>
      <c r="HD90" s="30"/>
      <c r="HE90" s="30"/>
    </row>
    <row r="91">
      <c r="A91" s="9" t="s">
        <v>116</v>
      </c>
      <c r="B91" s="118">
        <f t="shared" si="8"/>
        <v>0.01769911504</v>
      </c>
      <c r="C91" s="111">
        <f t="shared" si="9"/>
        <v>4</v>
      </c>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87">
        <v>2.0</v>
      </c>
      <c r="BZ91" s="30"/>
      <c r="CA91" s="30"/>
      <c r="CB91" s="30"/>
      <c r="CC91" s="30"/>
      <c r="CD91" s="30"/>
      <c r="CE91" s="30"/>
      <c r="CF91" s="30"/>
      <c r="CG91" s="30"/>
      <c r="CH91" s="87">
        <v>1.0</v>
      </c>
      <c r="CI91" s="30"/>
      <c r="CJ91" s="87">
        <v>1.0</v>
      </c>
      <c r="CK91" s="30"/>
      <c r="CL91" s="30"/>
      <c r="CM91" s="87">
        <v>2.0</v>
      </c>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30"/>
      <c r="EJ91" s="30"/>
      <c r="EK91" s="30"/>
      <c r="EL91" s="30"/>
      <c r="EM91" s="30"/>
      <c r="EN91" s="30"/>
      <c r="EO91" s="30"/>
      <c r="EP91" s="30"/>
      <c r="EQ91" s="30"/>
      <c r="ER91" s="30"/>
      <c r="ES91" s="30"/>
      <c r="ET91" s="30"/>
      <c r="EU91" s="30"/>
      <c r="EV91" s="30"/>
      <c r="EW91" s="30"/>
      <c r="EX91" s="30"/>
      <c r="EY91" s="30"/>
      <c r="EZ91" s="30"/>
      <c r="FA91" s="30"/>
      <c r="FB91" s="30"/>
      <c r="FC91" s="30"/>
      <c r="FD91" s="30"/>
      <c r="FE91" s="30"/>
      <c r="FF91" s="30"/>
      <c r="FG91" s="30"/>
      <c r="FH91" s="30"/>
      <c r="FI91" s="30"/>
      <c r="FJ91" s="30"/>
      <c r="FK91" s="30"/>
      <c r="FL91" s="30"/>
      <c r="FM91" s="30"/>
      <c r="FN91" s="30"/>
      <c r="FO91" s="30"/>
      <c r="FP91" s="30"/>
      <c r="FQ91" s="30"/>
      <c r="FR91" s="30"/>
      <c r="FS91" s="30"/>
      <c r="FT91" s="30"/>
      <c r="FU91" s="30"/>
      <c r="FV91" s="30"/>
      <c r="FW91" s="30"/>
      <c r="FX91" s="30"/>
      <c r="FY91" s="30"/>
      <c r="FZ91" s="30"/>
      <c r="GA91" s="30"/>
      <c r="GB91" s="30"/>
      <c r="GC91" s="30"/>
      <c r="GD91" s="30"/>
      <c r="GE91" s="30"/>
      <c r="GF91" s="30"/>
      <c r="GG91" s="30"/>
      <c r="GH91" s="30"/>
      <c r="GI91" s="30"/>
      <c r="GJ91" s="30"/>
      <c r="GK91" s="30"/>
      <c r="GL91" s="30"/>
      <c r="GM91" s="30"/>
      <c r="GN91" s="30"/>
      <c r="GO91" s="30"/>
      <c r="GP91" s="30"/>
      <c r="GQ91" s="30"/>
      <c r="GR91" s="30"/>
      <c r="GS91" s="30"/>
      <c r="GT91" s="30"/>
      <c r="GU91" s="30"/>
      <c r="GV91" s="30"/>
      <c r="GW91" s="30"/>
      <c r="GX91" s="30"/>
      <c r="GY91" s="30"/>
      <c r="GZ91" s="30"/>
      <c r="HA91" s="30"/>
      <c r="HB91" s="30"/>
      <c r="HC91" s="30"/>
      <c r="HD91" s="30"/>
      <c r="HE91" s="30"/>
    </row>
    <row r="92">
      <c r="A92" s="91" t="s">
        <v>140</v>
      </c>
      <c r="B92" s="118">
        <f t="shared" si="8"/>
        <v>0.01769911504</v>
      </c>
      <c r="C92" s="111">
        <f t="shared" si="9"/>
        <v>4</v>
      </c>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87">
        <v>1.0</v>
      </c>
      <c r="BQ92" s="30"/>
      <c r="BR92" s="30"/>
      <c r="BS92" s="30"/>
      <c r="BT92" s="30"/>
      <c r="BU92" s="87">
        <v>1.0</v>
      </c>
      <c r="BV92" s="30"/>
      <c r="BW92" s="30"/>
      <c r="BX92" s="30"/>
      <c r="BY92" s="30"/>
      <c r="BZ92" s="30"/>
      <c r="CA92" s="30"/>
      <c r="CB92" s="30"/>
      <c r="CC92" s="30"/>
      <c r="CD92" s="30"/>
      <c r="CE92" s="30"/>
      <c r="CF92" s="30"/>
      <c r="CG92" s="30"/>
      <c r="CH92" s="30"/>
      <c r="CI92" s="30"/>
      <c r="CJ92" s="30"/>
      <c r="CK92" s="30"/>
      <c r="CL92" s="87">
        <v>1.0</v>
      </c>
      <c r="CM92" s="30"/>
      <c r="CN92" s="30"/>
      <c r="CO92" s="87">
        <v>1.0</v>
      </c>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30"/>
      <c r="EJ92" s="30"/>
      <c r="EK92" s="30"/>
      <c r="EL92" s="30"/>
      <c r="EM92" s="30"/>
      <c r="EN92" s="30"/>
      <c r="EO92" s="30"/>
      <c r="EP92" s="30"/>
      <c r="EQ92" s="30"/>
      <c r="ER92" s="30"/>
      <c r="ES92" s="30"/>
      <c r="ET92" s="30"/>
      <c r="EU92" s="30"/>
      <c r="EV92" s="30"/>
      <c r="EW92" s="30"/>
      <c r="EX92" s="30"/>
      <c r="EY92" s="30"/>
      <c r="EZ92" s="30"/>
      <c r="FA92" s="30"/>
      <c r="FB92" s="30"/>
      <c r="FC92" s="30"/>
      <c r="FD92" s="30"/>
      <c r="FE92" s="30"/>
      <c r="FF92" s="30"/>
      <c r="FG92" s="30"/>
      <c r="FH92" s="30"/>
      <c r="FI92" s="30"/>
      <c r="FJ92" s="30"/>
      <c r="FK92" s="30"/>
      <c r="FL92" s="30"/>
      <c r="FM92" s="30"/>
      <c r="FN92" s="30"/>
      <c r="FO92" s="30"/>
      <c r="FP92" s="30"/>
      <c r="FQ92" s="30"/>
      <c r="FR92" s="30"/>
      <c r="FS92" s="30"/>
      <c r="FT92" s="30"/>
      <c r="FU92" s="30"/>
      <c r="FV92" s="30"/>
      <c r="FW92" s="30"/>
      <c r="FX92" s="30"/>
      <c r="FY92" s="30"/>
      <c r="FZ92" s="30"/>
      <c r="GA92" s="30"/>
      <c r="GB92" s="30"/>
      <c r="GC92" s="30"/>
      <c r="GD92" s="30"/>
      <c r="GE92" s="30"/>
      <c r="GF92" s="30"/>
      <c r="GG92" s="30"/>
      <c r="GH92" s="30"/>
      <c r="GI92" s="30"/>
      <c r="GJ92" s="30"/>
      <c r="GK92" s="30"/>
      <c r="GL92" s="30"/>
      <c r="GM92" s="30"/>
      <c r="GN92" s="30"/>
      <c r="GO92" s="30"/>
      <c r="GP92" s="30"/>
      <c r="GQ92" s="30"/>
      <c r="GR92" s="30"/>
      <c r="GS92" s="30"/>
      <c r="GT92" s="30"/>
      <c r="GU92" s="30"/>
      <c r="GV92" s="30"/>
      <c r="GW92" s="30"/>
      <c r="GX92" s="30"/>
      <c r="GY92" s="30"/>
      <c r="GZ92" s="30"/>
      <c r="HA92" s="30"/>
      <c r="HB92" s="30"/>
      <c r="HC92" s="30"/>
      <c r="HD92" s="30"/>
      <c r="HE92" s="30"/>
    </row>
    <row r="93">
      <c r="A93" s="9" t="s">
        <v>97</v>
      </c>
      <c r="B93" s="118">
        <f t="shared" si="8"/>
        <v>0.008849557522</v>
      </c>
      <c r="C93" s="111">
        <f t="shared" si="9"/>
        <v>2</v>
      </c>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87">
        <v>2.0</v>
      </c>
      <c r="BQ93" s="30"/>
      <c r="BR93" s="30"/>
      <c r="BS93" s="30"/>
      <c r="BT93" s="30"/>
      <c r="BU93" s="30"/>
      <c r="BV93" s="30"/>
      <c r="BW93" s="30"/>
      <c r="BX93" s="30"/>
      <c r="BY93" s="30"/>
      <c r="BZ93" s="30"/>
      <c r="CA93" s="30"/>
      <c r="CB93" s="30"/>
      <c r="CC93" s="30"/>
      <c r="CD93" s="30"/>
      <c r="CE93" s="30"/>
      <c r="CF93" s="30"/>
      <c r="CG93" s="30"/>
      <c r="CH93" s="30"/>
      <c r="CI93" s="30"/>
      <c r="CJ93" s="30"/>
      <c r="CK93" s="30"/>
      <c r="CL93" s="30"/>
      <c r="CM93" s="87">
        <v>1.0</v>
      </c>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30"/>
      <c r="EJ93" s="30"/>
      <c r="EK93" s="30"/>
      <c r="EL93" s="30"/>
      <c r="EM93" s="30"/>
      <c r="EN93" s="30"/>
      <c r="EO93" s="30"/>
      <c r="EP93" s="30"/>
      <c r="EQ93" s="30"/>
      <c r="ER93" s="30"/>
      <c r="ES93" s="30"/>
      <c r="ET93" s="30"/>
      <c r="EU93" s="30"/>
      <c r="EV93" s="30"/>
      <c r="EW93" s="30"/>
      <c r="EX93" s="30"/>
      <c r="EY93" s="30"/>
      <c r="EZ93" s="30"/>
      <c r="FA93" s="30"/>
      <c r="FB93" s="30"/>
      <c r="FC93" s="30"/>
      <c r="FD93" s="30"/>
      <c r="FE93" s="30"/>
      <c r="FF93" s="30"/>
      <c r="FG93" s="30"/>
      <c r="FH93" s="30"/>
      <c r="FI93" s="30"/>
      <c r="FJ93" s="30"/>
      <c r="FK93" s="30"/>
      <c r="FL93" s="30"/>
      <c r="FM93" s="30"/>
      <c r="FN93" s="30"/>
      <c r="FO93" s="30"/>
      <c r="FP93" s="30"/>
      <c r="FQ93" s="30"/>
      <c r="FR93" s="30"/>
      <c r="FS93" s="30"/>
      <c r="FT93" s="30"/>
      <c r="FU93" s="30"/>
      <c r="FV93" s="30"/>
      <c r="FW93" s="30"/>
      <c r="FX93" s="30"/>
      <c r="FY93" s="30"/>
      <c r="FZ93" s="30"/>
      <c r="GA93" s="30"/>
      <c r="GB93" s="30"/>
      <c r="GC93" s="30"/>
      <c r="GD93" s="30"/>
      <c r="GE93" s="30"/>
      <c r="GF93" s="30"/>
      <c r="GG93" s="30"/>
      <c r="GH93" s="30"/>
      <c r="GI93" s="30"/>
      <c r="GJ93" s="30"/>
      <c r="GK93" s="30"/>
      <c r="GL93" s="30"/>
      <c r="GM93" s="30"/>
      <c r="GN93" s="30"/>
      <c r="GO93" s="30"/>
      <c r="GP93" s="30"/>
      <c r="GQ93" s="30"/>
      <c r="GR93" s="30"/>
      <c r="GS93" s="30"/>
      <c r="GT93" s="30"/>
      <c r="GU93" s="30"/>
      <c r="GV93" s="30"/>
      <c r="GW93" s="30"/>
      <c r="GX93" s="30"/>
      <c r="GY93" s="30"/>
      <c r="GZ93" s="30"/>
      <c r="HA93" s="30"/>
      <c r="HB93" s="30"/>
      <c r="HC93" s="30"/>
      <c r="HD93" s="30"/>
      <c r="HE93" s="30"/>
    </row>
    <row r="94">
      <c r="A94" s="9" t="s">
        <v>117</v>
      </c>
      <c r="B94" s="118">
        <f t="shared" si="8"/>
        <v>0.004424778761</v>
      </c>
      <c r="C94" s="111">
        <f t="shared" si="9"/>
        <v>1</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87">
        <v>2.0</v>
      </c>
      <c r="CA94" s="112"/>
      <c r="CB94" s="112"/>
      <c r="CC94" s="112"/>
      <c r="CD94" s="112"/>
      <c r="CE94" s="112"/>
      <c r="CF94" s="112"/>
      <c r="CG94" s="112"/>
      <c r="CH94" s="112"/>
      <c r="CI94" s="112"/>
      <c r="CJ94" s="112"/>
      <c r="CK94" s="112"/>
      <c r="CL94" s="112"/>
      <c r="CM94" s="112"/>
      <c r="CN94" s="112"/>
      <c r="CO94" s="112"/>
      <c r="CP94" s="112"/>
      <c r="CQ94" s="112"/>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87"/>
      <c r="EM94" s="87"/>
      <c r="EN94" s="87"/>
      <c r="EO94" s="87"/>
      <c r="EP94" s="87"/>
      <c r="EQ94" s="87"/>
      <c r="ER94" s="87"/>
      <c r="ES94" s="87"/>
      <c r="ET94" s="87"/>
      <c r="EU94" s="87"/>
      <c r="EV94" s="87"/>
      <c r="EW94" s="87"/>
      <c r="EX94" s="87"/>
      <c r="EY94" s="87"/>
      <c r="EZ94" s="87"/>
      <c r="FA94" s="87"/>
      <c r="FB94" s="87"/>
      <c r="FC94" s="87"/>
      <c r="FD94" s="87"/>
      <c r="FE94" s="87"/>
      <c r="FF94" s="87"/>
      <c r="FG94" s="87"/>
      <c r="FH94" s="87"/>
      <c r="FI94" s="87"/>
      <c r="FJ94" s="87"/>
      <c r="FK94" s="87"/>
      <c r="FL94" s="87"/>
      <c r="FM94" s="87"/>
      <c r="FN94" s="87"/>
      <c r="FO94" s="87"/>
      <c r="FP94" s="87"/>
      <c r="FQ94" s="87"/>
      <c r="FR94" s="87"/>
      <c r="FS94" s="87"/>
      <c r="FT94" s="87"/>
      <c r="FU94" s="87"/>
      <c r="FV94" s="87"/>
      <c r="FW94" s="87"/>
      <c r="FX94" s="87"/>
      <c r="FY94" s="87"/>
      <c r="FZ94" s="87"/>
      <c r="GA94" s="87"/>
      <c r="GB94" s="87"/>
      <c r="GC94" s="87"/>
      <c r="GD94" s="87"/>
      <c r="GE94" s="87"/>
      <c r="GF94" s="87"/>
      <c r="GG94" s="87"/>
      <c r="GH94" s="87"/>
      <c r="GI94" s="87"/>
      <c r="GJ94" s="87"/>
      <c r="GK94" s="87"/>
      <c r="GL94" s="87"/>
      <c r="GM94" s="87"/>
      <c r="GN94" s="87"/>
      <c r="GO94" s="87"/>
      <c r="GP94" s="87"/>
      <c r="GQ94" s="87"/>
      <c r="GR94" s="87"/>
      <c r="GS94" s="87"/>
      <c r="GT94" s="87"/>
      <c r="GU94" s="87"/>
      <c r="GV94" s="87"/>
      <c r="GW94" s="87"/>
      <c r="GX94" s="87"/>
      <c r="GY94" s="87"/>
      <c r="GZ94" s="87"/>
      <c r="HA94" s="87"/>
      <c r="HB94" s="87"/>
      <c r="HC94" s="87"/>
      <c r="HD94" s="87"/>
      <c r="HE94" s="87"/>
    </row>
    <row r="95">
      <c r="A95" s="9" t="s">
        <v>141</v>
      </c>
      <c r="B95" s="118">
        <f t="shared" si="8"/>
        <v>0.008849557522</v>
      </c>
      <c r="C95" s="111">
        <f t="shared" si="9"/>
        <v>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87">
        <v>3.0</v>
      </c>
      <c r="BX95" s="30"/>
      <c r="BY95" s="30"/>
      <c r="BZ95" s="30"/>
      <c r="CA95" s="30"/>
      <c r="CB95" s="30"/>
      <c r="CC95" s="30"/>
      <c r="CD95" s="30"/>
      <c r="CE95" s="30"/>
      <c r="CF95" s="30"/>
      <c r="CG95" s="30"/>
      <c r="CH95" s="30"/>
      <c r="CI95" s="30"/>
      <c r="CJ95" s="30"/>
      <c r="CK95" s="30"/>
      <c r="CL95" s="87">
        <v>4.0</v>
      </c>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30"/>
      <c r="EJ95" s="30"/>
      <c r="EK95" s="30"/>
      <c r="EL95" s="30"/>
      <c r="EM95" s="30"/>
      <c r="EN95" s="30"/>
      <c r="EO95" s="30"/>
      <c r="EP95" s="30"/>
      <c r="EQ95" s="30"/>
      <c r="ER95" s="30"/>
      <c r="ES95" s="30"/>
      <c r="ET95" s="30"/>
      <c r="EU95" s="30"/>
      <c r="EV95" s="30"/>
      <c r="EW95" s="30"/>
      <c r="EX95" s="30"/>
      <c r="EY95" s="30"/>
      <c r="EZ95" s="30"/>
      <c r="FA95" s="30"/>
      <c r="FB95" s="30"/>
      <c r="FC95" s="30"/>
      <c r="FD95" s="30"/>
      <c r="FE95" s="30"/>
      <c r="FF95" s="30"/>
      <c r="FG95" s="30"/>
      <c r="FH95" s="30"/>
      <c r="FI95" s="30"/>
      <c r="FJ95" s="30"/>
      <c r="FK95" s="30"/>
      <c r="FL95" s="30"/>
      <c r="FM95" s="30"/>
      <c r="FN95" s="30"/>
      <c r="FO95" s="30"/>
      <c r="FP95" s="30"/>
      <c r="FQ95" s="30"/>
      <c r="FR95" s="30"/>
      <c r="FS95" s="30"/>
      <c r="FT95" s="30"/>
      <c r="FU95" s="30"/>
      <c r="FV95" s="30"/>
      <c r="FW95" s="30"/>
      <c r="FX95" s="30"/>
      <c r="FY95" s="30"/>
      <c r="FZ95" s="30"/>
      <c r="GA95" s="30"/>
      <c r="GB95" s="30"/>
      <c r="GC95" s="30"/>
      <c r="GD95" s="30"/>
      <c r="GE95" s="30"/>
      <c r="GF95" s="30"/>
      <c r="GG95" s="30"/>
      <c r="GH95" s="30"/>
      <c r="GI95" s="30"/>
      <c r="GJ95" s="30"/>
      <c r="GK95" s="30"/>
      <c r="GL95" s="30"/>
      <c r="GM95" s="30"/>
      <c r="GN95" s="30"/>
      <c r="GO95" s="30"/>
      <c r="GP95" s="30"/>
      <c r="GQ95" s="30"/>
      <c r="GR95" s="30"/>
      <c r="GS95" s="30"/>
      <c r="GT95" s="30"/>
      <c r="GU95" s="30"/>
      <c r="GV95" s="30"/>
      <c r="GW95" s="30"/>
      <c r="GX95" s="30"/>
      <c r="GY95" s="30"/>
      <c r="GZ95" s="30"/>
      <c r="HA95" s="30"/>
      <c r="HB95" s="30"/>
      <c r="HC95" s="30"/>
      <c r="HD95" s="30"/>
      <c r="HE95" s="30"/>
    </row>
    <row r="96">
      <c r="A96" s="9" t="s">
        <v>98</v>
      </c>
      <c r="B96" s="118">
        <f t="shared" si="8"/>
        <v>0.01327433628</v>
      </c>
      <c r="C96" s="111">
        <f t="shared" si="9"/>
        <v>3</v>
      </c>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87">
        <v>5.0</v>
      </c>
      <c r="BO96" s="30"/>
      <c r="BP96" s="87">
        <v>1.0</v>
      </c>
      <c r="BQ96" s="30"/>
      <c r="BR96" s="30"/>
      <c r="BS96" s="30"/>
      <c r="BT96" s="30"/>
      <c r="BU96" s="30"/>
      <c r="BV96" s="30"/>
      <c r="BW96" s="30"/>
      <c r="BX96" s="30"/>
      <c r="BY96" s="30"/>
      <c r="BZ96" s="30"/>
      <c r="CA96" s="30"/>
      <c r="CB96" s="30"/>
      <c r="CC96" s="30"/>
      <c r="CD96" s="30"/>
      <c r="CE96" s="30"/>
      <c r="CF96" s="30"/>
      <c r="CG96" s="30"/>
      <c r="CH96" s="30"/>
      <c r="CI96" s="30"/>
      <c r="CJ96" s="30"/>
      <c r="CK96" s="87">
        <v>1.0</v>
      </c>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30"/>
      <c r="EJ96" s="30"/>
      <c r="EK96" s="30"/>
      <c r="EL96" s="30"/>
      <c r="EM96" s="30"/>
      <c r="EN96" s="30"/>
      <c r="EO96" s="30"/>
      <c r="EP96" s="30"/>
      <c r="EQ96" s="30"/>
      <c r="ER96" s="30"/>
      <c r="ES96" s="30"/>
      <c r="ET96" s="30"/>
      <c r="EU96" s="30"/>
      <c r="EV96" s="30"/>
      <c r="EW96" s="30"/>
      <c r="EX96" s="30"/>
      <c r="EY96" s="30"/>
      <c r="EZ96" s="30"/>
      <c r="FA96" s="30"/>
      <c r="FB96" s="30"/>
      <c r="FC96" s="30"/>
      <c r="FD96" s="30"/>
      <c r="FE96" s="30"/>
      <c r="FF96" s="30"/>
      <c r="FG96" s="30"/>
      <c r="FH96" s="30"/>
      <c r="FI96" s="30"/>
      <c r="FJ96" s="30"/>
      <c r="FK96" s="30"/>
      <c r="FL96" s="30"/>
      <c r="FM96" s="30"/>
      <c r="FN96" s="30"/>
      <c r="FO96" s="30"/>
      <c r="FP96" s="30"/>
      <c r="FQ96" s="30"/>
      <c r="FR96" s="30"/>
      <c r="FS96" s="30"/>
      <c r="FT96" s="30"/>
      <c r="FU96" s="30"/>
      <c r="FV96" s="30"/>
      <c r="FW96" s="30"/>
      <c r="FX96" s="30"/>
      <c r="FY96" s="30"/>
      <c r="FZ96" s="30"/>
      <c r="GA96" s="30"/>
      <c r="GB96" s="30"/>
      <c r="GC96" s="30"/>
      <c r="GD96" s="30"/>
      <c r="GE96" s="30"/>
      <c r="GF96" s="30"/>
      <c r="GG96" s="30"/>
      <c r="GH96" s="30"/>
      <c r="GI96" s="30"/>
      <c r="GJ96" s="30"/>
      <c r="GK96" s="30"/>
      <c r="GL96" s="30"/>
      <c r="GM96" s="30"/>
      <c r="GN96" s="30"/>
      <c r="GO96" s="30"/>
      <c r="GP96" s="30"/>
      <c r="GQ96" s="30"/>
      <c r="GR96" s="30"/>
      <c r="GS96" s="30"/>
      <c r="GT96" s="30"/>
      <c r="GU96" s="30"/>
      <c r="GV96" s="30"/>
      <c r="GW96" s="30"/>
      <c r="GX96" s="30"/>
      <c r="GY96" s="30"/>
      <c r="GZ96" s="30"/>
      <c r="HA96" s="30"/>
      <c r="HB96" s="30"/>
      <c r="HC96" s="30"/>
      <c r="HD96" s="30"/>
      <c r="HE96" s="30"/>
    </row>
    <row r="97">
      <c r="A97" s="9" t="s">
        <v>119</v>
      </c>
      <c r="B97" s="118">
        <f t="shared" si="8"/>
        <v>0.02212389381</v>
      </c>
      <c r="C97" s="111">
        <f t="shared" si="9"/>
        <v>5</v>
      </c>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87">
        <v>5.0</v>
      </c>
      <c r="BE97" s="30"/>
      <c r="BF97" s="30"/>
      <c r="BG97" s="30"/>
      <c r="BH97" s="30"/>
      <c r="BI97" s="30"/>
      <c r="BJ97" s="30"/>
      <c r="BK97" s="30"/>
      <c r="BL97" s="30"/>
      <c r="BM97" s="30"/>
      <c r="BN97" s="30"/>
      <c r="BO97" s="30"/>
      <c r="BP97" s="30"/>
      <c r="BQ97" s="30"/>
      <c r="BR97" s="87">
        <v>3.0</v>
      </c>
      <c r="BS97" s="30"/>
      <c r="BT97" s="30"/>
      <c r="BU97" s="30"/>
      <c r="BV97" s="30"/>
      <c r="BW97" s="30"/>
      <c r="BX97" s="87">
        <v>3.0</v>
      </c>
      <c r="BY97" s="30"/>
      <c r="BZ97" s="30"/>
      <c r="CA97" s="30"/>
      <c r="CB97" s="30"/>
      <c r="CC97" s="87">
        <v>2.0</v>
      </c>
      <c r="CD97" s="30"/>
      <c r="CE97" s="30"/>
      <c r="CF97" s="30"/>
      <c r="CG97" s="87">
        <v>1.0</v>
      </c>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30"/>
      <c r="EJ97" s="30"/>
      <c r="EK97" s="30"/>
      <c r="EL97" s="30"/>
      <c r="EM97" s="30"/>
      <c r="EN97" s="30"/>
      <c r="EO97" s="30"/>
      <c r="EP97" s="30"/>
      <c r="EQ97" s="30"/>
      <c r="ER97" s="30"/>
      <c r="ES97" s="30"/>
      <c r="ET97" s="30"/>
      <c r="EU97" s="30"/>
      <c r="EV97" s="30"/>
      <c r="EW97" s="30"/>
      <c r="EX97" s="30"/>
      <c r="EY97" s="30"/>
      <c r="EZ97" s="30"/>
      <c r="FA97" s="30"/>
      <c r="FB97" s="30"/>
      <c r="FC97" s="30"/>
      <c r="FD97" s="30"/>
      <c r="FE97" s="30"/>
      <c r="FF97" s="30"/>
      <c r="FG97" s="30"/>
      <c r="FH97" s="30"/>
      <c r="FI97" s="30"/>
      <c r="FJ97" s="30"/>
      <c r="FK97" s="30"/>
      <c r="FL97" s="30"/>
      <c r="FM97" s="30"/>
      <c r="FN97" s="30"/>
      <c r="FO97" s="30"/>
      <c r="FP97" s="30"/>
      <c r="FQ97" s="30"/>
      <c r="FR97" s="30"/>
      <c r="FS97" s="30"/>
      <c r="FT97" s="30"/>
      <c r="FU97" s="30"/>
      <c r="FV97" s="30"/>
      <c r="FW97" s="30"/>
      <c r="FX97" s="30"/>
      <c r="FY97" s="30"/>
      <c r="FZ97" s="30"/>
      <c r="GA97" s="30"/>
      <c r="GB97" s="30"/>
      <c r="GC97" s="30"/>
      <c r="GD97" s="30"/>
      <c r="GE97" s="30"/>
      <c r="GF97" s="30"/>
      <c r="GG97" s="30"/>
      <c r="GH97" s="30"/>
      <c r="GI97" s="30"/>
      <c r="GJ97" s="30"/>
      <c r="GK97" s="30"/>
      <c r="GL97" s="30"/>
      <c r="GM97" s="30"/>
      <c r="GN97" s="30"/>
      <c r="GO97" s="30"/>
      <c r="GP97" s="30"/>
      <c r="GQ97" s="30"/>
      <c r="GR97" s="30"/>
      <c r="GS97" s="30"/>
      <c r="GT97" s="30"/>
      <c r="GU97" s="30"/>
      <c r="GV97" s="30"/>
      <c r="GW97" s="30"/>
      <c r="GX97" s="30"/>
      <c r="GY97" s="30"/>
      <c r="GZ97" s="30"/>
      <c r="HA97" s="30"/>
      <c r="HB97" s="30"/>
      <c r="HC97" s="30"/>
      <c r="HD97" s="30"/>
      <c r="HE97" s="30"/>
    </row>
    <row r="98">
      <c r="A98" s="91" t="s">
        <v>142</v>
      </c>
      <c r="B98" s="118">
        <f t="shared" si="8"/>
        <v>0.008849557522</v>
      </c>
      <c r="C98" s="111">
        <f t="shared" si="9"/>
        <v>2</v>
      </c>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87">
        <v>1.0</v>
      </c>
      <c r="BS98" s="30"/>
      <c r="BT98" s="30"/>
      <c r="BU98" s="30"/>
      <c r="BV98" s="30"/>
      <c r="BW98" s="30"/>
      <c r="BX98" s="30"/>
      <c r="BY98" s="30"/>
      <c r="BZ98" s="30"/>
      <c r="CA98" s="30"/>
      <c r="CB98" s="30"/>
      <c r="CC98" s="30"/>
      <c r="CD98" s="30"/>
      <c r="CE98" s="30"/>
      <c r="CF98" s="30"/>
      <c r="CG98" s="30"/>
      <c r="CH98" s="30"/>
      <c r="CI98" s="30"/>
      <c r="CJ98" s="87">
        <v>1.0</v>
      </c>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30"/>
      <c r="EJ98" s="30"/>
      <c r="EK98" s="30"/>
      <c r="EL98" s="30"/>
      <c r="EM98" s="30"/>
      <c r="EN98" s="30"/>
      <c r="EO98" s="30"/>
      <c r="EP98" s="30"/>
      <c r="EQ98" s="30"/>
      <c r="ER98" s="30"/>
      <c r="ES98" s="30"/>
      <c r="ET98" s="30"/>
      <c r="EU98" s="30"/>
      <c r="EV98" s="30"/>
      <c r="EW98" s="30"/>
      <c r="EX98" s="30"/>
      <c r="EY98" s="30"/>
      <c r="EZ98" s="30"/>
      <c r="FA98" s="30"/>
      <c r="FB98" s="30"/>
      <c r="FC98" s="30"/>
      <c r="FD98" s="30"/>
      <c r="FE98" s="30"/>
      <c r="FF98" s="30"/>
      <c r="FG98" s="30"/>
      <c r="FH98" s="30"/>
      <c r="FI98" s="30"/>
      <c r="FJ98" s="30"/>
      <c r="FK98" s="30"/>
      <c r="FL98" s="30"/>
      <c r="FM98" s="30"/>
      <c r="FN98" s="30"/>
      <c r="FO98" s="30"/>
      <c r="FP98" s="30"/>
      <c r="FQ98" s="30"/>
      <c r="FR98" s="30"/>
      <c r="FS98" s="30"/>
      <c r="FT98" s="30"/>
      <c r="FU98" s="30"/>
      <c r="FV98" s="30"/>
      <c r="FW98" s="30"/>
      <c r="FX98" s="30"/>
      <c r="FY98" s="30"/>
      <c r="FZ98" s="30"/>
      <c r="GA98" s="30"/>
      <c r="GB98" s="30"/>
      <c r="GC98" s="30"/>
      <c r="GD98" s="30"/>
      <c r="GE98" s="30"/>
      <c r="GF98" s="30"/>
      <c r="GG98" s="30"/>
      <c r="GH98" s="30"/>
      <c r="GI98" s="30"/>
      <c r="GJ98" s="30"/>
      <c r="GK98" s="30"/>
      <c r="GL98" s="30"/>
      <c r="GM98" s="30"/>
      <c r="GN98" s="30"/>
      <c r="GO98" s="30"/>
      <c r="GP98" s="30"/>
      <c r="GQ98" s="30"/>
      <c r="GR98" s="30"/>
      <c r="GS98" s="30"/>
      <c r="GT98" s="30"/>
      <c r="GU98" s="30"/>
      <c r="GV98" s="30"/>
      <c r="GW98" s="30"/>
      <c r="GX98" s="30"/>
      <c r="GY98" s="30"/>
      <c r="GZ98" s="30"/>
      <c r="HA98" s="30"/>
      <c r="HB98" s="30"/>
      <c r="HC98" s="30"/>
      <c r="HD98" s="30"/>
      <c r="HE98" s="30"/>
    </row>
    <row r="99">
      <c r="A99" s="9" t="s">
        <v>99</v>
      </c>
      <c r="B99" s="118">
        <f t="shared" si="8"/>
        <v>0.01327433628</v>
      </c>
      <c r="C99" s="111">
        <f t="shared" si="9"/>
        <v>3</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87">
        <v>1.0</v>
      </c>
      <c r="BC99" s="30"/>
      <c r="BD99" s="30"/>
      <c r="BE99" s="30"/>
      <c r="BF99" s="30"/>
      <c r="BG99" s="30"/>
      <c r="BH99" s="30"/>
      <c r="BI99" s="30"/>
      <c r="BJ99" s="30"/>
      <c r="BK99" s="30"/>
      <c r="BL99" s="30"/>
      <c r="BM99" s="30"/>
      <c r="BN99" s="30"/>
      <c r="BO99" s="30"/>
      <c r="BP99" s="30"/>
      <c r="BQ99" s="87">
        <v>1.0</v>
      </c>
      <c r="BR99" s="30"/>
      <c r="BS99" s="30"/>
      <c r="BT99" s="30"/>
      <c r="BU99" s="30"/>
      <c r="BV99" s="30"/>
      <c r="BW99" s="30"/>
      <c r="BX99" s="30"/>
      <c r="BY99" s="30"/>
      <c r="BZ99" s="30"/>
      <c r="CA99" s="30"/>
      <c r="CB99" s="30"/>
      <c r="CC99" s="30"/>
      <c r="CD99" s="30"/>
      <c r="CE99" s="30"/>
      <c r="CF99" s="30"/>
      <c r="CG99" s="30"/>
      <c r="CH99" s="30"/>
      <c r="CI99" s="87">
        <v>1.0</v>
      </c>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30"/>
      <c r="EO99" s="30"/>
      <c r="EP99" s="30"/>
      <c r="EQ99" s="30"/>
      <c r="ER99" s="30"/>
      <c r="ES99" s="30"/>
      <c r="ET99" s="30"/>
      <c r="EU99" s="30"/>
      <c r="EV99" s="30"/>
      <c r="EW99" s="30"/>
      <c r="EX99" s="30"/>
      <c r="EY99" s="30"/>
      <c r="EZ99" s="30"/>
      <c r="FA99" s="30"/>
      <c r="FB99" s="30"/>
      <c r="FC99" s="30"/>
      <c r="FD99" s="30"/>
      <c r="FE99" s="30"/>
      <c r="FF99" s="30"/>
      <c r="FG99" s="30"/>
      <c r="FH99" s="30"/>
      <c r="FI99" s="30"/>
      <c r="FJ99" s="30"/>
      <c r="FK99" s="30"/>
      <c r="FL99" s="30"/>
      <c r="FM99" s="30"/>
      <c r="FN99" s="30"/>
      <c r="FO99" s="30"/>
      <c r="FP99" s="30"/>
      <c r="FQ99" s="30"/>
      <c r="FR99" s="30"/>
      <c r="FS99" s="30"/>
      <c r="FT99" s="30"/>
      <c r="FU99" s="30"/>
      <c r="FV99" s="30"/>
      <c r="FW99" s="30"/>
      <c r="FX99" s="30"/>
      <c r="FY99" s="30"/>
      <c r="FZ99" s="30"/>
      <c r="GA99" s="30"/>
      <c r="GB99" s="30"/>
      <c r="GC99" s="30"/>
      <c r="GD99" s="30"/>
      <c r="GE99" s="30"/>
      <c r="GF99" s="30"/>
      <c r="GG99" s="30"/>
      <c r="GH99" s="30"/>
      <c r="GI99" s="30"/>
      <c r="GJ99" s="30"/>
      <c r="GK99" s="30"/>
      <c r="GL99" s="30"/>
      <c r="GM99" s="30"/>
      <c r="GN99" s="30"/>
      <c r="GO99" s="30"/>
      <c r="GP99" s="30"/>
      <c r="GQ99" s="30"/>
      <c r="GR99" s="30"/>
      <c r="GS99" s="30"/>
      <c r="GT99" s="30"/>
      <c r="GU99" s="30"/>
      <c r="GV99" s="30"/>
      <c r="GW99" s="30"/>
      <c r="GX99" s="30"/>
      <c r="GY99" s="30"/>
      <c r="GZ99" s="30"/>
      <c r="HA99" s="30"/>
      <c r="HB99" s="30"/>
      <c r="HC99" s="30"/>
      <c r="HD99" s="30"/>
      <c r="HE99" s="30"/>
    </row>
    <row r="100">
      <c r="A100" s="9" t="s">
        <v>120</v>
      </c>
      <c r="B100" s="118">
        <f t="shared" si="8"/>
        <v>0.02212389381</v>
      </c>
      <c r="C100" s="111">
        <f t="shared" si="9"/>
        <v>5</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87">
        <v>1.0</v>
      </c>
      <c r="BD100" s="30"/>
      <c r="BE100" s="30"/>
      <c r="BF100" s="30"/>
      <c r="BG100" s="30"/>
      <c r="BH100" s="30"/>
      <c r="BI100" s="30"/>
      <c r="BJ100" s="87">
        <v>3.0</v>
      </c>
      <c r="BK100" s="87">
        <v>1.0</v>
      </c>
      <c r="BL100" s="30"/>
      <c r="BM100" s="30"/>
      <c r="BN100" s="30"/>
      <c r="BO100" s="30"/>
      <c r="BP100" s="30"/>
      <c r="BQ100" s="30"/>
      <c r="BR100" s="30"/>
      <c r="BS100" s="30"/>
      <c r="BT100" s="30"/>
      <c r="BU100" s="30"/>
      <c r="BV100" s="30"/>
      <c r="BW100" s="30"/>
      <c r="BX100" s="30"/>
      <c r="BY100" s="30"/>
      <c r="BZ100" s="30"/>
      <c r="CA100" s="30"/>
      <c r="CB100" s="30"/>
      <c r="CC100" s="30"/>
      <c r="CD100" s="87">
        <v>3.0</v>
      </c>
      <c r="CE100" s="30"/>
      <c r="CF100" s="30"/>
      <c r="CG100" s="30"/>
      <c r="CH100" s="30"/>
      <c r="CI100" s="30"/>
      <c r="CJ100" s="30"/>
      <c r="CK100" s="30"/>
      <c r="CL100" s="30"/>
      <c r="CM100" s="30"/>
      <c r="CN100" s="30"/>
      <c r="CO100" s="87">
        <v>2.0</v>
      </c>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30"/>
      <c r="EJ100" s="30"/>
      <c r="EK100" s="30"/>
      <c r="EL100" s="30"/>
      <c r="EM100" s="30"/>
      <c r="EN100" s="30"/>
      <c r="EO100" s="30"/>
      <c r="EP100" s="30"/>
      <c r="EQ100" s="30"/>
      <c r="ER100" s="30"/>
      <c r="ES100" s="30"/>
      <c r="ET100" s="30"/>
      <c r="EU100" s="30"/>
      <c r="EV100" s="30"/>
      <c r="EW100" s="30"/>
      <c r="EX100" s="30"/>
      <c r="EY100" s="30"/>
      <c r="EZ100" s="30"/>
      <c r="FA100" s="30"/>
      <c r="FB100" s="30"/>
      <c r="FC100" s="30"/>
      <c r="FD100" s="30"/>
      <c r="FE100" s="30"/>
      <c r="FF100" s="30"/>
      <c r="FG100" s="30"/>
      <c r="FH100" s="30"/>
      <c r="FI100" s="30"/>
      <c r="FJ100" s="30"/>
      <c r="FK100" s="30"/>
      <c r="FL100" s="30"/>
      <c r="FM100" s="30"/>
      <c r="FN100" s="30"/>
      <c r="FO100" s="30"/>
      <c r="FP100" s="30"/>
      <c r="FQ100" s="30"/>
      <c r="FR100" s="30"/>
      <c r="FS100" s="30"/>
      <c r="FT100" s="30"/>
      <c r="FU100" s="30"/>
      <c r="FV100" s="30"/>
      <c r="FW100" s="30"/>
      <c r="FX100" s="30"/>
      <c r="FY100" s="30"/>
      <c r="FZ100" s="30"/>
      <c r="GA100" s="30"/>
      <c r="GB100" s="30"/>
      <c r="GC100" s="30"/>
      <c r="GD100" s="30"/>
      <c r="GE100" s="30"/>
      <c r="GF100" s="30"/>
      <c r="GG100" s="30"/>
      <c r="GH100" s="30"/>
      <c r="GI100" s="30"/>
      <c r="GJ100" s="30"/>
      <c r="GK100" s="30"/>
      <c r="GL100" s="30"/>
      <c r="GM100" s="30"/>
      <c r="GN100" s="30"/>
      <c r="GO100" s="30"/>
      <c r="GP100" s="30"/>
      <c r="GQ100" s="30"/>
      <c r="GR100" s="30"/>
      <c r="GS100" s="30"/>
      <c r="GT100" s="30"/>
      <c r="GU100" s="30"/>
      <c r="GV100" s="30"/>
      <c r="GW100" s="30"/>
      <c r="GX100" s="30"/>
      <c r="GY100" s="30"/>
      <c r="GZ100" s="30"/>
      <c r="HA100" s="30"/>
      <c r="HB100" s="30"/>
      <c r="HC100" s="30"/>
      <c r="HD100" s="30"/>
      <c r="HE100" s="30"/>
    </row>
    <row r="101">
      <c r="A101" s="91" t="s">
        <v>143</v>
      </c>
      <c r="B101" s="118">
        <f t="shared" si="8"/>
        <v>0.02654867257</v>
      </c>
      <c r="C101" s="111">
        <f t="shared" si="9"/>
        <v>6</v>
      </c>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87">
        <v>1.0</v>
      </c>
      <c r="BG101" s="30"/>
      <c r="BH101" s="30"/>
      <c r="BI101" s="30"/>
      <c r="BJ101" s="30"/>
      <c r="BK101" s="30"/>
      <c r="BL101" s="30"/>
      <c r="BM101" s="30"/>
      <c r="BN101" s="30"/>
      <c r="BO101" s="30"/>
      <c r="BP101" s="30"/>
      <c r="BQ101" s="30"/>
      <c r="BR101" s="30"/>
      <c r="BS101" s="87">
        <v>4.0</v>
      </c>
      <c r="BT101" s="87">
        <v>1.0</v>
      </c>
      <c r="BU101" s="30"/>
      <c r="BV101" s="30"/>
      <c r="BW101" s="30"/>
      <c r="BX101" s="30"/>
      <c r="BY101" s="30"/>
      <c r="BZ101" s="30"/>
      <c r="CA101" s="30"/>
      <c r="CB101" s="30"/>
      <c r="CC101" s="30"/>
      <c r="CD101" s="30"/>
      <c r="CE101" s="30"/>
      <c r="CF101" s="30"/>
      <c r="CG101" s="30"/>
      <c r="CH101" s="30"/>
      <c r="CI101" s="30"/>
      <c r="CJ101" s="30"/>
      <c r="CK101" s="87">
        <v>2.0</v>
      </c>
      <c r="CL101" s="30"/>
      <c r="CM101" s="30"/>
      <c r="CN101" s="87">
        <v>3.0</v>
      </c>
      <c r="CO101" s="87">
        <v>2.0</v>
      </c>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30"/>
      <c r="EJ101" s="30"/>
      <c r="EK101" s="30"/>
      <c r="EL101" s="30"/>
      <c r="EM101" s="30"/>
      <c r="EN101" s="30"/>
      <c r="EO101" s="30"/>
      <c r="EP101" s="30"/>
      <c r="EQ101" s="30"/>
      <c r="ER101" s="30"/>
      <c r="ES101" s="30"/>
      <c r="ET101" s="30"/>
      <c r="EU101" s="30"/>
      <c r="EV101" s="30"/>
      <c r="EW101" s="30"/>
      <c r="EX101" s="30"/>
      <c r="EY101" s="30"/>
      <c r="EZ101" s="30"/>
      <c r="FA101" s="30"/>
      <c r="FB101" s="30"/>
      <c r="FC101" s="30"/>
      <c r="FD101" s="30"/>
      <c r="FE101" s="30"/>
      <c r="FF101" s="30"/>
      <c r="FG101" s="30"/>
      <c r="FH101" s="30"/>
      <c r="FI101" s="30"/>
      <c r="FJ101" s="30"/>
      <c r="FK101" s="30"/>
      <c r="FL101" s="30"/>
      <c r="FM101" s="30"/>
      <c r="FN101" s="30"/>
      <c r="FO101" s="30"/>
      <c r="FP101" s="30"/>
      <c r="FQ101" s="30"/>
      <c r="FR101" s="30"/>
      <c r="FS101" s="30"/>
      <c r="FT101" s="30"/>
      <c r="FU101" s="30"/>
      <c r="FV101" s="30"/>
      <c r="FW101" s="30"/>
      <c r="FX101" s="30"/>
      <c r="FY101" s="30"/>
      <c r="FZ101" s="30"/>
      <c r="GA101" s="30"/>
      <c r="GB101" s="30"/>
      <c r="GC101" s="30"/>
      <c r="GD101" s="30"/>
      <c r="GE101" s="30"/>
      <c r="GF101" s="30"/>
      <c r="GG101" s="30"/>
      <c r="GH101" s="30"/>
      <c r="GI101" s="30"/>
      <c r="GJ101" s="30"/>
      <c r="GK101" s="30"/>
      <c r="GL101" s="30"/>
      <c r="GM101" s="30"/>
      <c r="GN101" s="30"/>
      <c r="GO101" s="30"/>
      <c r="GP101" s="30"/>
      <c r="GQ101" s="30"/>
      <c r="GR101" s="30"/>
      <c r="GS101" s="30"/>
      <c r="GT101" s="30"/>
      <c r="GU101" s="30"/>
      <c r="GV101" s="30"/>
      <c r="GW101" s="30"/>
      <c r="GX101" s="30"/>
      <c r="GY101" s="30"/>
      <c r="GZ101" s="30"/>
      <c r="HA101" s="30"/>
      <c r="HB101" s="30"/>
      <c r="HC101" s="30"/>
      <c r="HD101" s="30"/>
      <c r="HE101" s="30"/>
    </row>
    <row r="102">
      <c r="A102" s="9" t="s">
        <v>100</v>
      </c>
      <c r="B102" s="118">
        <f t="shared" si="8"/>
        <v>0.02654867257</v>
      </c>
      <c r="C102" s="111">
        <f t="shared" si="9"/>
        <v>6</v>
      </c>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87" t="s">
        <v>334</v>
      </c>
      <c r="BQ102" s="30"/>
      <c r="BR102" s="30"/>
      <c r="BS102" s="30"/>
      <c r="BT102" s="30"/>
      <c r="BU102" s="30"/>
      <c r="BV102" s="30"/>
      <c r="BW102" s="30"/>
      <c r="BX102" s="87">
        <v>3.0</v>
      </c>
      <c r="BY102" s="30"/>
      <c r="BZ102" s="87">
        <v>1.0</v>
      </c>
      <c r="CA102" s="112"/>
      <c r="CB102" s="112"/>
      <c r="CC102" s="112"/>
      <c r="CD102" s="87">
        <v>1.0</v>
      </c>
      <c r="CE102" s="112"/>
      <c r="CF102" s="112"/>
      <c r="CG102" s="112"/>
      <c r="CH102" s="112"/>
      <c r="CI102" s="87">
        <v>3.0</v>
      </c>
      <c r="CJ102" s="112"/>
      <c r="CK102" s="112"/>
      <c r="CL102" s="112"/>
      <c r="CM102" s="112"/>
      <c r="CN102" s="112"/>
      <c r="CO102" s="112"/>
      <c r="CP102" s="112"/>
      <c r="CQ102" s="87">
        <v>2.0</v>
      </c>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87"/>
      <c r="EO102" s="87"/>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c r="FL102" s="87"/>
      <c r="FM102" s="87"/>
      <c r="FN102" s="87"/>
      <c r="FO102" s="87"/>
      <c r="FP102" s="87"/>
      <c r="FQ102" s="87"/>
      <c r="FR102" s="87"/>
      <c r="FS102" s="87"/>
      <c r="FT102" s="87"/>
      <c r="FU102" s="87"/>
      <c r="FV102" s="87"/>
      <c r="FW102" s="87"/>
      <c r="FX102" s="87"/>
      <c r="FY102" s="87"/>
      <c r="FZ102" s="87"/>
      <c r="GA102" s="87"/>
      <c r="GB102" s="87"/>
      <c r="GC102" s="87"/>
      <c r="GD102" s="87"/>
      <c r="GE102" s="87"/>
      <c r="GF102" s="87"/>
      <c r="GG102" s="87"/>
      <c r="GH102" s="87"/>
      <c r="GI102" s="87"/>
      <c r="GJ102" s="87"/>
      <c r="GK102" s="87"/>
      <c r="GL102" s="87"/>
      <c r="GM102" s="87"/>
      <c r="GN102" s="87"/>
      <c r="GO102" s="87"/>
      <c r="GP102" s="87"/>
      <c r="GQ102" s="87"/>
      <c r="GR102" s="87"/>
      <c r="GS102" s="87"/>
      <c r="GT102" s="87"/>
      <c r="GU102" s="87"/>
      <c r="GV102" s="87"/>
      <c r="GW102" s="87"/>
      <c r="GX102" s="87"/>
      <c r="GY102" s="87"/>
      <c r="GZ102" s="87"/>
      <c r="HA102" s="87"/>
      <c r="HB102" s="87"/>
      <c r="HC102" s="87"/>
      <c r="HD102" s="87"/>
      <c r="HE102" s="87"/>
    </row>
    <row r="103">
      <c r="A103" s="9" t="s">
        <v>121</v>
      </c>
      <c r="B103" s="118">
        <f t="shared" si="8"/>
        <v>0.004424778761</v>
      </c>
      <c r="C103" s="111">
        <f t="shared" si="9"/>
        <v>1</v>
      </c>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87" t="s">
        <v>334</v>
      </c>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30"/>
      <c r="EJ103" s="30"/>
      <c r="EK103" s="30"/>
      <c r="EL103" s="30"/>
      <c r="EM103" s="30"/>
      <c r="EN103" s="30"/>
      <c r="EO103" s="30"/>
      <c r="EP103" s="30"/>
      <c r="EQ103" s="30"/>
      <c r="ER103" s="30"/>
      <c r="ES103" s="30"/>
      <c r="ET103" s="30"/>
      <c r="EU103" s="30"/>
      <c r="EV103" s="30"/>
      <c r="EW103" s="30"/>
      <c r="EX103" s="30"/>
      <c r="EY103" s="30"/>
      <c r="EZ103" s="30"/>
      <c r="FA103" s="30"/>
      <c r="FB103" s="30"/>
      <c r="FC103" s="30"/>
      <c r="FD103" s="30"/>
      <c r="FE103" s="30"/>
      <c r="FF103" s="30"/>
      <c r="FG103" s="30"/>
      <c r="FH103" s="30"/>
      <c r="FI103" s="30"/>
      <c r="FJ103" s="30"/>
      <c r="FK103" s="30"/>
      <c r="FL103" s="30"/>
      <c r="FM103" s="30"/>
      <c r="FN103" s="30"/>
      <c r="FO103" s="30"/>
      <c r="FP103" s="30"/>
      <c r="FQ103" s="30"/>
      <c r="FR103" s="30"/>
      <c r="FS103" s="30"/>
      <c r="FT103" s="30"/>
      <c r="FU103" s="30"/>
      <c r="FV103" s="30"/>
      <c r="FW103" s="30"/>
      <c r="FX103" s="30"/>
      <c r="FY103" s="30"/>
      <c r="FZ103" s="30"/>
      <c r="GA103" s="30"/>
      <c r="GB103" s="30"/>
      <c r="GC103" s="30"/>
      <c r="GD103" s="30"/>
      <c r="GE103" s="30"/>
      <c r="GF103" s="30"/>
      <c r="GG103" s="30"/>
      <c r="GH103" s="30"/>
      <c r="GI103" s="30"/>
      <c r="GJ103" s="30"/>
      <c r="GK103" s="30"/>
      <c r="GL103" s="30"/>
      <c r="GM103" s="30"/>
      <c r="GN103" s="30"/>
      <c r="GO103" s="30"/>
      <c r="GP103" s="30"/>
      <c r="GQ103" s="30"/>
      <c r="GR103" s="30"/>
      <c r="GS103" s="30"/>
      <c r="GT103" s="30"/>
      <c r="GU103" s="30"/>
      <c r="GV103" s="30"/>
      <c r="GW103" s="30"/>
      <c r="GX103" s="30"/>
      <c r="GY103" s="30"/>
      <c r="GZ103" s="30"/>
      <c r="HA103" s="30"/>
      <c r="HB103" s="30"/>
      <c r="HC103" s="30"/>
      <c r="HD103" s="30"/>
      <c r="HE103" s="30"/>
    </row>
    <row r="104">
      <c r="A104" s="91" t="s">
        <v>144</v>
      </c>
      <c r="B104" s="118">
        <f t="shared" si="8"/>
        <v>0.01327433628</v>
      </c>
      <c r="C104" s="111">
        <f t="shared" si="9"/>
        <v>3</v>
      </c>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87">
        <v>1.0</v>
      </c>
      <c r="CB104" s="30"/>
      <c r="CC104" s="30"/>
      <c r="CD104" s="30"/>
      <c r="CE104" s="30"/>
      <c r="CF104" s="30"/>
      <c r="CG104" s="30"/>
      <c r="CH104" s="30"/>
      <c r="CI104" s="30"/>
      <c r="CJ104" s="30"/>
      <c r="CK104" s="87">
        <v>1.0</v>
      </c>
      <c r="CL104" s="87">
        <v>1.0</v>
      </c>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c r="EL104" s="30"/>
      <c r="EM104" s="30"/>
      <c r="EN104" s="30"/>
      <c r="EO104" s="30"/>
      <c r="EP104" s="30"/>
      <c r="EQ104" s="30"/>
      <c r="ER104" s="30"/>
      <c r="ES104" s="30"/>
      <c r="ET104" s="30"/>
      <c r="EU104" s="30"/>
      <c r="EV104" s="30"/>
      <c r="EW104" s="30"/>
      <c r="EX104" s="30"/>
      <c r="EY104" s="30"/>
      <c r="EZ104" s="30"/>
      <c r="FA104" s="30"/>
      <c r="FB104" s="30"/>
      <c r="FC104" s="30"/>
      <c r="FD104" s="30"/>
      <c r="FE104" s="30"/>
      <c r="FF104" s="30"/>
      <c r="FG104" s="30"/>
      <c r="FH104" s="30"/>
      <c r="FI104" s="30"/>
      <c r="FJ104" s="30"/>
      <c r="FK104" s="30"/>
      <c r="FL104" s="30"/>
      <c r="FM104" s="30"/>
      <c r="FN104" s="30"/>
      <c r="FO104" s="30"/>
      <c r="FP104" s="30"/>
      <c r="FQ104" s="30"/>
      <c r="FR104" s="30"/>
      <c r="FS104" s="30"/>
      <c r="FT104" s="30"/>
      <c r="FU104" s="30"/>
      <c r="FV104" s="30"/>
      <c r="FW104" s="30"/>
      <c r="FX104" s="30"/>
      <c r="FY104" s="30"/>
      <c r="FZ104" s="30"/>
      <c r="GA104" s="30"/>
      <c r="GB104" s="30"/>
      <c r="GC104" s="30"/>
      <c r="GD104" s="30"/>
      <c r="GE104" s="30"/>
      <c r="GF104" s="30"/>
      <c r="GG104" s="30"/>
      <c r="GH104" s="30"/>
      <c r="GI104" s="30"/>
      <c r="GJ104" s="30"/>
      <c r="GK104" s="30"/>
      <c r="GL104" s="30"/>
      <c r="GM104" s="30"/>
      <c r="GN104" s="30"/>
      <c r="GO104" s="30"/>
      <c r="GP104" s="30"/>
      <c r="GQ104" s="30"/>
      <c r="GR104" s="30"/>
      <c r="GS104" s="30"/>
      <c r="GT104" s="30"/>
      <c r="GU104" s="30"/>
      <c r="GV104" s="30"/>
      <c r="GW104" s="30"/>
      <c r="GX104" s="30"/>
      <c r="GY104" s="30"/>
      <c r="GZ104" s="30"/>
      <c r="HA104" s="30"/>
      <c r="HB104" s="30"/>
      <c r="HC104" s="30"/>
      <c r="HD104" s="30"/>
      <c r="HE104" s="30"/>
    </row>
    <row r="105">
      <c r="A105" s="9" t="s">
        <v>101</v>
      </c>
      <c r="B105" s="118">
        <f t="shared" si="8"/>
        <v>0.02212389381</v>
      </c>
      <c r="C105" s="111">
        <f t="shared" si="9"/>
        <v>5</v>
      </c>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87">
        <v>3.0</v>
      </c>
      <c r="BD105" s="30"/>
      <c r="BE105" s="30"/>
      <c r="BF105" s="30"/>
      <c r="BG105" s="30"/>
      <c r="BH105" s="30"/>
      <c r="BI105" s="30"/>
      <c r="BJ105" s="30"/>
      <c r="BK105" s="30"/>
      <c r="BL105" s="30"/>
      <c r="BM105" s="30"/>
      <c r="BN105" s="30"/>
      <c r="BO105" s="30"/>
      <c r="BP105" s="30"/>
      <c r="BQ105" s="30"/>
      <c r="BR105" s="87">
        <v>3.0</v>
      </c>
      <c r="BS105" s="30"/>
      <c r="BT105" s="30"/>
      <c r="BU105" s="30"/>
      <c r="BV105" s="30"/>
      <c r="BW105" s="30"/>
      <c r="BX105" s="30"/>
      <c r="BY105" s="30"/>
      <c r="BZ105" s="30"/>
      <c r="CA105" s="30"/>
      <c r="CB105" s="30"/>
      <c r="CC105" s="30"/>
      <c r="CD105" s="30"/>
      <c r="CE105" s="30"/>
      <c r="CF105" s="30"/>
      <c r="CG105" s="30"/>
      <c r="CH105" s="30"/>
      <c r="CI105" s="30"/>
      <c r="CJ105" s="30"/>
      <c r="CK105" s="87">
        <v>3.0</v>
      </c>
      <c r="CL105" s="30"/>
      <c r="CM105" s="30"/>
      <c r="CN105" s="30"/>
      <c r="CO105" s="87">
        <v>4.0</v>
      </c>
      <c r="CP105" s="87">
        <v>1.0</v>
      </c>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30"/>
      <c r="EO105" s="30"/>
      <c r="EP105" s="30"/>
      <c r="EQ105" s="30"/>
      <c r="ER105" s="30"/>
      <c r="ES105" s="30"/>
      <c r="ET105" s="30"/>
      <c r="EU105" s="30"/>
      <c r="EV105" s="30"/>
      <c r="EW105" s="30"/>
      <c r="EX105" s="30"/>
      <c r="EY105" s="30"/>
      <c r="EZ105" s="30"/>
      <c r="FA105" s="30"/>
      <c r="FB105" s="30"/>
      <c r="FC105" s="30"/>
      <c r="FD105" s="30"/>
      <c r="FE105" s="30"/>
      <c r="FF105" s="30"/>
      <c r="FG105" s="30"/>
      <c r="FH105" s="30"/>
      <c r="FI105" s="30"/>
      <c r="FJ105" s="30"/>
      <c r="FK105" s="30"/>
      <c r="FL105" s="30"/>
      <c r="FM105" s="30"/>
      <c r="FN105" s="30"/>
      <c r="FO105" s="30"/>
      <c r="FP105" s="30"/>
      <c r="FQ105" s="30"/>
      <c r="FR105" s="30"/>
      <c r="FS105" s="30"/>
      <c r="FT105" s="30"/>
      <c r="FU105" s="30"/>
      <c r="FV105" s="30"/>
      <c r="FW105" s="30"/>
      <c r="FX105" s="30"/>
      <c r="FY105" s="30"/>
      <c r="FZ105" s="30"/>
      <c r="GA105" s="30"/>
      <c r="GB105" s="30"/>
      <c r="GC105" s="30"/>
      <c r="GD105" s="30"/>
      <c r="GE105" s="30"/>
      <c r="GF105" s="30"/>
      <c r="GG105" s="30"/>
      <c r="GH105" s="30"/>
      <c r="GI105" s="30"/>
      <c r="GJ105" s="30"/>
      <c r="GK105" s="30"/>
      <c r="GL105" s="30"/>
      <c r="GM105" s="30"/>
      <c r="GN105" s="30"/>
      <c r="GO105" s="30"/>
      <c r="GP105" s="30"/>
      <c r="GQ105" s="30"/>
      <c r="GR105" s="30"/>
      <c r="GS105" s="30"/>
      <c r="GT105" s="30"/>
      <c r="GU105" s="30"/>
      <c r="GV105" s="30"/>
      <c r="GW105" s="30"/>
      <c r="GX105" s="30"/>
      <c r="GY105" s="30"/>
      <c r="GZ105" s="30"/>
      <c r="HA105" s="30"/>
      <c r="HB105" s="30"/>
      <c r="HC105" s="30"/>
      <c r="HD105" s="30"/>
      <c r="HE105" s="30"/>
    </row>
    <row r="106">
      <c r="A106" s="9" t="s">
        <v>122</v>
      </c>
      <c r="B106" s="118">
        <f t="shared" si="8"/>
        <v>0.01327433628</v>
      </c>
      <c r="C106" s="111">
        <f t="shared" si="9"/>
        <v>3</v>
      </c>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87">
        <v>1.0</v>
      </c>
      <c r="BV106" s="30"/>
      <c r="BW106" s="30"/>
      <c r="BX106" s="30"/>
      <c r="BY106" s="30"/>
      <c r="BZ106" s="30"/>
      <c r="CA106" s="30"/>
      <c r="CB106" s="30"/>
      <c r="CC106" s="87">
        <v>1.0</v>
      </c>
      <c r="CD106" s="87">
        <v>1.0</v>
      </c>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30"/>
      <c r="EJ106" s="30"/>
      <c r="EK106" s="30"/>
      <c r="EL106" s="30"/>
      <c r="EM106" s="30"/>
      <c r="EN106" s="30"/>
      <c r="EO106" s="30"/>
      <c r="EP106" s="30"/>
      <c r="EQ106" s="30"/>
      <c r="ER106" s="30"/>
      <c r="ES106" s="30"/>
      <c r="ET106" s="30"/>
      <c r="EU106" s="30"/>
      <c r="EV106" s="30"/>
      <c r="EW106" s="30"/>
      <c r="EX106" s="30"/>
      <c r="EY106" s="30"/>
      <c r="EZ106" s="30"/>
      <c r="FA106" s="30"/>
      <c r="FB106" s="30"/>
      <c r="FC106" s="30"/>
      <c r="FD106" s="30"/>
      <c r="FE106" s="30"/>
      <c r="FF106" s="30"/>
      <c r="FG106" s="30"/>
      <c r="FH106" s="30"/>
      <c r="FI106" s="30"/>
      <c r="FJ106" s="30"/>
      <c r="FK106" s="30"/>
      <c r="FL106" s="30"/>
      <c r="FM106" s="30"/>
      <c r="FN106" s="30"/>
      <c r="FO106" s="30"/>
      <c r="FP106" s="30"/>
      <c r="FQ106" s="30"/>
      <c r="FR106" s="30"/>
      <c r="FS106" s="30"/>
      <c r="FT106" s="30"/>
      <c r="FU106" s="30"/>
      <c r="FV106" s="30"/>
      <c r="FW106" s="30"/>
      <c r="FX106" s="30"/>
      <c r="FY106" s="30"/>
      <c r="FZ106" s="30"/>
      <c r="GA106" s="30"/>
      <c r="GB106" s="30"/>
      <c r="GC106" s="30"/>
      <c r="GD106" s="30"/>
      <c r="GE106" s="30"/>
      <c r="GF106" s="30"/>
      <c r="GG106" s="30"/>
      <c r="GH106" s="30"/>
      <c r="GI106" s="30"/>
      <c r="GJ106" s="30"/>
      <c r="GK106" s="30"/>
      <c r="GL106" s="30"/>
      <c r="GM106" s="30"/>
      <c r="GN106" s="30"/>
      <c r="GO106" s="30"/>
      <c r="GP106" s="30"/>
      <c r="GQ106" s="30"/>
      <c r="GR106" s="30"/>
      <c r="GS106" s="30"/>
      <c r="GT106" s="30"/>
      <c r="GU106" s="30"/>
      <c r="GV106" s="30"/>
      <c r="GW106" s="30"/>
      <c r="GX106" s="30"/>
      <c r="GY106" s="30"/>
      <c r="GZ106" s="30"/>
      <c r="HA106" s="30"/>
      <c r="HB106" s="30"/>
      <c r="HC106" s="30"/>
      <c r="HD106" s="30"/>
      <c r="HE106" s="30"/>
    </row>
    <row r="107">
      <c r="A107" s="9" t="s">
        <v>145</v>
      </c>
      <c r="B107" s="118">
        <f t="shared" si="8"/>
        <v>0.02212389381</v>
      </c>
      <c r="C107" s="111">
        <f t="shared" si="9"/>
        <v>5</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87">
        <v>1.0</v>
      </c>
      <c r="BE107" s="30"/>
      <c r="BF107" s="30"/>
      <c r="BG107" s="30"/>
      <c r="BH107" s="30"/>
      <c r="BI107" s="30"/>
      <c r="BJ107" s="30"/>
      <c r="BK107" s="30"/>
      <c r="BL107" s="30"/>
      <c r="BM107" s="30"/>
      <c r="BN107" s="30"/>
      <c r="BO107" s="30"/>
      <c r="BP107" s="30"/>
      <c r="BQ107" s="30"/>
      <c r="BR107" s="30"/>
      <c r="BS107" s="30"/>
      <c r="BT107" s="30"/>
      <c r="BU107" s="87">
        <v>3.0</v>
      </c>
      <c r="BV107" s="30"/>
      <c r="BW107" s="30"/>
      <c r="BX107" s="30"/>
      <c r="BY107" s="30"/>
      <c r="BZ107" s="87">
        <v>2.0</v>
      </c>
      <c r="CA107" s="112"/>
      <c r="CB107" s="87">
        <v>1.0</v>
      </c>
      <c r="CC107" s="112"/>
      <c r="CD107" s="112"/>
      <c r="CE107" s="112"/>
      <c r="CF107" s="112"/>
      <c r="CG107" s="87">
        <v>1.0</v>
      </c>
      <c r="CH107" s="112"/>
      <c r="CI107" s="112"/>
      <c r="CJ107" s="112"/>
      <c r="CK107" s="112"/>
      <c r="CL107" s="112"/>
      <c r="CM107" s="112"/>
      <c r="CN107" s="112"/>
      <c r="CO107" s="112"/>
      <c r="CP107" s="112"/>
      <c r="CQ107" s="112"/>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87"/>
      <c r="EM107" s="87"/>
      <c r="EN107" s="87"/>
      <c r="EO107" s="87"/>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c r="FL107" s="87"/>
      <c r="FM107" s="87"/>
      <c r="FN107" s="87"/>
      <c r="FO107" s="87"/>
      <c r="FP107" s="87"/>
      <c r="FQ107" s="87"/>
      <c r="FR107" s="87"/>
      <c r="FS107" s="87"/>
      <c r="FT107" s="87"/>
      <c r="FU107" s="87"/>
      <c r="FV107" s="87"/>
      <c r="FW107" s="87"/>
      <c r="FX107" s="87"/>
      <c r="FY107" s="87"/>
      <c r="FZ107" s="87"/>
      <c r="GA107" s="87"/>
      <c r="GB107" s="87"/>
      <c r="GC107" s="87"/>
      <c r="GD107" s="87"/>
      <c r="GE107" s="87"/>
      <c r="GF107" s="87"/>
      <c r="GG107" s="87"/>
      <c r="GH107" s="87"/>
      <c r="GI107" s="87"/>
      <c r="GJ107" s="87"/>
      <c r="GK107" s="87"/>
      <c r="GL107" s="87"/>
      <c r="GM107" s="87"/>
      <c r="GN107" s="87"/>
      <c r="GO107" s="87"/>
      <c r="GP107" s="87"/>
      <c r="GQ107" s="87"/>
      <c r="GR107" s="87"/>
      <c r="GS107" s="87"/>
      <c r="GT107" s="87"/>
      <c r="GU107" s="87"/>
      <c r="GV107" s="87"/>
      <c r="GW107" s="87"/>
      <c r="GX107" s="87"/>
      <c r="GY107" s="87"/>
      <c r="GZ107" s="87"/>
      <c r="HA107" s="87"/>
      <c r="HB107" s="87"/>
      <c r="HC107" s="87"/>
      <c r="HD107" s="87"/>
      <c r="HE107" s="87"/>
    </row>
    <row r="108">
      <c r="A108" s="96"/>
      <c r="B108" s="96"/>
      <c r="C108" s="105"/>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30"/>
      <c r="EJ108" s="30"/>
      <c r="EK108" s="30"/>
      <c r="EL108" s="30"/>
      <c r="EM108" s="30"/>
      <c r="EN108" s="30"/>
      <c r="EO108" s="30"/>
      <c r="EP108" s="30"/>
      <c r="EQ108" s="30"/>
      <c r="ER108" s="30"/>
      <c r="ES108" s="30"/>
      <c r="ET108" s="30"/>
      <c r="EU108" s="30"/>
      <c r="EV108" s="30"/>
      <c r="EW108" s="30"/>
      <c r="EX108" s="30"/>
      <c r="EY108" s="30"/>
      <c r="EZ108" s="30"/>
      <c r="FA108" s="30"/>
      <c r="FB108" s="30"/>
      <c r="FC108" s="30"/>
      <c r="FD108" s="30"/>
      <c r="FE108" s="30"/>
      <c r="FF108" s="30"/>
      <c r="FG108" s="30"/>
      <c r="FH108" s="30"/>
      <c r="FI108" s="30"/>
      <c r="FJ108" s="30"/>
      <c r="FK108" s="30"/>
      <c r="FL108" s="30"/>
      <c r="FM108" s="30"/>
      <c r="FN108" s="30"/>
      <c r="FO108" s="30"/>
      <c r="FP108" s="30"/>
      <c r="FQ108" s="30"/>
      <c r="FR108" s="30"/>
      <c r="FS108" s="30"/>
      <c r="FT108" s="30"/>
      <c r="FU108" s="30"/>
      <c r="FV108" s="30"/>
      <c r="FW108" s="30"/>
      <c r="FX108" s="30"/>
      <c r="FY108" s="30"/>
      <c r="FZ108" s="30"/>
      <c r="GA108" s="30"/>
      <c r="GB108" s="30"/>
      <c r="GC108" s="30"/>
      <c r="GD108" s="30"/>
      <c r="GE108" s="30"/>
      <c r="GF108" s="30"/>
      <c r="GG108" s="30"/>
      <c r="GH108" s="30"/>
      <c r="GI108" s="30"/>
      <c r="GJ108" s="30"/>
      <c r="GK108" s="30"/>
      <c r="GL108" s="30"/>
      <c r="GM108" s="30"/>
      <c r="GN108" s="30"/>
      <c r="GO108" s="30"/>
      <c r="GP108" s="30"/>
      <c r="GQ108" s="30"/>
      <c r="GR108" s="30"/>
      <c r="GS108" s="30"/>
      <c r="GT108" s="30"/>
      <c r="GU108" s="30"/>
      <c r="GV108" s="30"/>
      <c r="GW108" s="30"/>
      <c r="GX108" s="30"/>
      <c r="GY108" s="30"/>
      <c r="GZ108" s="30"/>
      <c r="HA108" s="30"/>
      <c r="HB108" s="30"/>
      <c r="HC108" s="30"/>
      <c r="HD108" s="30"/>
      <c r="HE108" s="30"/>
    </row>
    <row r="109">
      <c r="A109" s="96"/>
      <c r="B109" s="96"/>
      <c r="C109" s="105"/>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30"/>
      <c r="EJ109" s="30"/>
      <c r="EK109" s="30"/>
      <c r="EL109" s="30"/>
      <c r="EM109" s="30"/>
      <c r="EN109" s="30"/>
      <c r="EO109" s="30"/>
      <c r="EP109" s="30"/>
      <c r="EQ109" s="30"/>
      <c r="ER109" s="30"/>
      <c r="ES109" s="30"/>
      <c r="ET109" s="30"/>
      <c r="EU109" s="30"/>
      <c r="EV109" s="30"/>
      <c r="EW109" s="30"/>
      <c r="EX109" s="30"/>
      <c r="EY109" s="30"/>
      <c r="EZ109" s="30"/>
      <c r="FA109" s="30"/>
      <c r="FB109" s="30"/>
      <c r="FC109" s="30"/>
      <c r="FD109" s="30"/>
      <c r="FE109" s="30"/>
      <c r="FF109" s="30"/>
      <c r="FG109" s="30"/>
      <c r="FH109" s="30"/>
      <c r="FI109" s="30"/>
      <c r="FJ109" s="30"/>
      <c r="FK109" s="30"/>
      <c r="FL109" s="30"/>
      <c r="FM109" s="30"/>
      <c r="FN109" s="30"/>
      <c r="FO109" s="30"/>
      <c r="FP109" s="30"/>
      <c r="FQ109" s="30"/>
      <c r="FR109" s="30"/>
      <c r="FS109" s="30"/>
      <c r="FT109" s="30"/>
      <c r="FU109" s="30"/>
      <c r="FV109" s="30"/>
      <c r="FW109" s="30"/>
      <c r="FX109" s="30"/>
      <c r="FY109" s="30"/>
      <c r="FZ109" s="30"/>
      <c r="GA109" s="30"/>
      <c r="GB109" s="30"/>
      <c r="GC109" s="30"/>
      <c r="GD109" s="30"/>
      <c r="GE109" s="30"/>
      <c r="GF109" s="30"/>
      <c r="GG109" s="30"/>
      <c r="GH109" s="30"/>
      <c r="GI109" s="30"/>
      <c r="GJ109" s="30"/>
      <c r="GK109" s="30"/>
      <c r="GL109" s="30"/>
      <c r="GM109" s="30"/>
      <c r="GN109" s="30"/>
      <c r="GO109" s="30"/>
      <c r="GP109" s="30"/>
      <c r="GQ109" s="30"/>
      <c r="GR109" s="30"/>
      <c r="GS109" s="30"/>
      <c r="GT109" s="30"/>
      <c r="GU109" s="30"/>
      <c r="GV109" s="30"/>
      <c r="GW109" s="30"/>
      <c r="GX109" s="30"/>
      <c r="GY109" s="30"/>
      <c r="GZ109" s="30"/>
      <c r="HA109" s="30"/>
      <c r="HB109" s="30"/>
      <c r="HC109" s="30"/>
      <c r="HD109" s="30"/>
      <c r="HE109" s="30"/>
    </row>
    <row r="110">
      <c r="A110" s="95" t="s">
        <v>336</v>
      </c>
      <c r="B110" s="96"/>
      <c r="C110" s="69">
        <v>276.0</v>
      </c>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30"/>
      <c r="EJ110" s="30"/>
      <c r="EK110" s="30"/>
      <c r="EL110" s="30"/>
      <c r="EM110" s="30"/>
      <c r="EN110" s="30"/>
      <c r="EO110" s="30"/>
      <c r="EP110" s="30"/>
      <c r="EQ110" s="30"/>
      <c r="ER110" s="30"/>
      <c r="ES110" s="30"/>
      <c r="ET110" s="30"/>
      <c r="EU110" s="30"/>
      <c r="EV110" s="30"/>
      <c r="EW110" s="30"/>
      <c r="EX110" s="30"/>
      <c r="EY110" s="30"/>
      <c r="EZ110" s="30"/>
      <c r="FA110" s="30"/>
      <c r="FB110" s="30"/>
      <c r="FC110" s="30"/>
      <c r="FD110" s="30"/>
      <c r="FE110" s="30"/>
      <c r="FF110" s="30"/>
      <c r="FG110" s="30"/>
      <c r="FH110" s="30"/>
      <c r="FI110" s="30"/>
      <c r="FJ110" s="30"/>
      <c r="FK110" s="30"/>
      <c r="FL110" s="30"/>
      <c r="FM110" s="30"/>
      <c r="FN110" s="30"/>
      <c r="FO110" s="30"/>
      <c r="FP110" s="30"/>
      <c r="FQ110" s="30"/>
      <c r="FR110" s="30"/>
      <c r="FS110" s="30"/>
      <c r="FT110" s="30"/>
      <c r="FU110" s="30"/>
      <c r="FV110" s="30"/>
      <c r="FW110" s="30"/>
      <c r="FX110" s="30"/>
      <c r="FY110" s="30"/>
      <c r="FZ110" s="30"/>
      <c r="GA110" s="30"/>
      <c r="GB110" s="30"/>
      <c r="GC110" s="30"/>
      <c r="GD110" s="30"/>
      <c r="GE110" s="30"/>
      <c r="GF110" s="30"/>
      <c r="GG110" s="30"/>
      <c r="GH110" s="30"/>
      <c r="GI110" s="30"/>
      <c r="GJ110" s="30"/>
      <c r="GK110" s="30"/>
      <c r="GL110" s="30"/>
      <c r="GM110" s="30"/>
      <c r="GN110" s="30"/>
      <c r="GO110" s="30"/>
      <c r="GP110" s="30"/>
      <c r="GQ110" s="30"/>
      <c r="GR110" s="30"/>
      <c r="GS110" s="30"/>
      <c r="GT110" s="30"/>
      <c r="GU110" s="30"/>
      <c r="GV110" s="30"/>
      <c r="GW110" s="30"/>
      <c r="GX110" s="30"/>
      <c r="GY110" s="30"/>
      <c r="GZ110" s="30"/>
      <c r="HA110" s="30"/>
      <c r="HB110" s="30"/>
      <c r="HC110" s="30"/>
      <c r="HD110" s="30"/>
      <c r="HE110" s="30"/>
    </row>
    <row r="111">
      <c r="A111" s="9" t="s">
        <v>337</v>
      </c>
      <c r="B111" s="106">
        <v>0.163</v>
      </c>
      <c r="C111" s="101">
        <f t="shared" ref="C111:C129" si="10">COUNTA(D111:AFC111)/$C$110</f>
        <v>0.05434782609</v>
      </c>
      <c r="D111" s="87">
        <v>3.0</v>
      </c>
      <c r="E111" s="87">
        <v>3.0</v>
      </c>
      <c r="F111" s="87">
        <v>3.0</v>
      </c>
      <c r="G111" s="87">
        <v>3.0</v>
      </c>
      <c r="H111" s="87">
        <v>3.0</v>
      </c>
      <c r="I111" s="87">
        <v>3.0</v>
      </c>
      <c r="J111" s="87">
        <v>3.0</v>
      </c>
      <c r="K111" s="87">
        <v>3.0</v>
      </c>
      <c r="L111" s="87">
        <v>3.0</v>
      </c>
      <c r="M111" s="87">
        <v>3.0</v>
      </c>
      <c r="N111" s="87">
        <v>3.0</v>
      </c>
      <c r="O111" s="87">
        <v>3.0</v>
      </c>
      <c r="P111" s="87">
        <v>3.0</v>
      </c>
      <c r="Q111" s="87">
        <v>3.0</v>
      </c>
      <c r="R111" s="87">
        <v>3.0</v>
      </c>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30"/>
      <c r="EJ111" s="30"/>
      <c r="EK111" s="30"/>
      <c r="EL111" s="30"/>
      <c r="EM111" s="30"/>
      <c r="EN111" s="30"/>
      <c r="EO111" s="30"/>
      <c r="EP111" s="30"/>
      <c r="EQ111" s="30"/>
      <c r="ER111" s="30"/>
      <c r="ES111" s="30"/>
      <c r="ET111" s="30"/>
      <c r="EU111" s="30"/>
      <c r="EV111" s="30"/>
      <c r="EW111" s="30"/>
      <c r="EX111" s="30"/>
      <c r="EY111" s="30"/>
      <c r="EZ111" s="30"/>
      <c r="FA111" s="30"/>
      <c r="FB111" s="30"/>
      <c r="FC111" s="30"/>
      <c r="FD111" s="30"/>
      <c r="FE111" s="30"/>
      <c r="FF111" s="30"/>
      <c r="FG111" s="30"/>
      <c r="FH111" s="30"/>
      <c r="FI111" s="30"/>
      <c r="FJ111" s="30"/>
      <c r="FK111" s="30"/>
      <c r="FL111" s="30"/>
      <c r="FM111" s="30"/>
      <c r="FN111" s="30"/>
      <c r="FO111" s="30"/>
      <c r="FP111" s="30"/>
      <c r="FQ111" s="30"/>
      <c r="FR111" s="30"/>
      <c r="FS111" s="30"/>
      <c r="FT111" s="30"/>
      <c r="FU111" s="30"/>
      <c r="FV111" s="30"/>
      <c r="FW111" s="30"/>
      <c r="FX111" s="30"/>
      <c r="FY111" s="30"/>
      <c r="FZ111" s="30"/>
      <c r="GA111" s="30"/>
      <c r="GB111" s="30"/>
      <c r="GC111" s="30"/>
      <c r="GD111" s="30"/>
      <c r="GE111" s="30"/>
      <c r="GF111" s="30"/>
      <c r="GG111" s="30"/>
      <c r="GH111" s="30"/>
      <c r="GI111" s="30"/>
      <c r="GJ111" s="30"/>
      <c r="GK111" s="30"/>
      <c r="GL111" s="30"/>
      <c r="GM111" s="30"/>
      <c r="GN111" s="30"/>
      <c r="GO111" s="30"/>
      <c r="GP111" s="30"/>
      <c r="GQ111" s="30"/>
      <c r="GR111" s="30"/>
      <c r="GS111" s="30"/>
      <c r="GT111" s="30"/>
      <c r="GU111" s="30"/>
      <c r="GV111" s="30"/>
      <c r="GW111" s="30"/>
      <c r="GX111" s="30"/>
      <c r="GY111" s="30"/>
      <c r="GZ111" s="30"/>
      <c r="HA111" s="30"/>
      <c r="HB111" s="30"/>
      <c r="HC111" s="30"/>
      <c r="HD111" s="30"/>
      <c r="HE111" s="30"/>
    </row>
    <row r="112">
      <c r="A112" s="9" t="s">
        <v>338</v>
      </c>
      <c r="B112" s="106">
        <v>0.163</v>
      </c>
      <c r="C112" s="101">
        <f t="shared" si="10"/>
        <v>0.05434782609</v>
      </c>
      <c r="D112" s="87">
        <v>3.0</v>
      </c>
      <c r="E112" s="87">
        <v>3.0</v>
      </c>
      <c r="F112" s="87">
        <v>3.0</v>
      </c>
      <c r="G112" s="87">
        <v>3.0</v>
      </c>
      <c r="H112" s="87">
        <v>3.0</v>
      </c>
      <c r="I112" s="87">
        <v>3.0</v>
      </c>
      <c r="J112" s="87">
        <v>3.0</v>
      </c>
      <c r="K112" s="87">
        <v>3.0</v>
      </c>
      <c r="L112" s="87">
        <v>3.0</v>
      </c>
      <c r="M112" s="87">
        <v>3.0</v>
      </c>
      <c r="N112" s="87">
        <v>3.0</v>
      </c>
      <c r="O112" s="87">
        <v>3.0</v>
      </c>
      <c r="P112" s="87">
        <v>3.0</v>
      </c>
      <c r="Q112" s="87">
        <v>3.0</v>
      </c>
      <c r="R112" s="87">
        <v>3.0</v>
      </c>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30"/>
      <c r="EJ112" s="30"/>
      <c r="EK112" s="30"/>
      <c r="EL112" s="30"/>
      <c r="EM112" s="30"/>
      <c r="EN112" s="30"/>
      <c r="EO112" s="30"/>
      <c r="EP112" s="30"/>
      <c r="EQ112" s="30"/>
      <c r="ER112" s="30"/>
      <c r="ES112" s="30"/>
      <c r="ET112" s="30"/>
      <c r="EU112" s="30"/>
      <c r="EV112" s="30"/>
      <c r="EW112" s="30"/>
      <c r="EX112" s="30"/>
      <c r="EY112" s="30"/>
      <c r="EZ112" s="30"/>
      <c r="FA112" s="30"/>
      <c r="FB112" s="30"/>
      <c r="FC112" s="30"/>
      <c r="FD112" s="30"/>
      <c r="FE112" s="30"/>
      <c r="FF112" s="30"/>
      <c r="FG112" s="30"/>
      <c r="FH112" s="30"/>
      <c r="FI112" s="30"/>
      <c r="FJ112" s="30"/>
      <c r="FK112" s="30"/>
      <c r="FL112" s="30"/>
      <c r="FM112" s="30"/>
      <c r="FN112" s="30"/>
      <c r="FO112" s="30"/>
      <c r="FP112" s="30"/>
      <c r="FQ112" s="30"/>
      <c r="FR112" s="30"/>
      <c r="FS112" s="30"/>
      <c r="FT112" s="30"/>
      <c r="FU112" s="30"/>
      <c r="FV112" s="30"/>
      <c r="FW112" s="30"/>
      <c r="FX112" s="30"/>
      <c r="FY112" s="30"/>
      <c r="FZ112" s="30"/>
      <c r="GA112" s="30"/>
      <c r="GB112" s="30"/>
      <c r="GC112" s="30"/>
      <c r="GD112" s="30"/>
      <c r="GE112" s="30"/>
      <c r="GF112" s="30"/>
      <c r="GG112" s="30"/>
      <c r="GH112" s="30"/>
      <c r="GI112" s="30"/>
      <c r="GJ112" s="30"/>
      <c r="GK112" s="30"/>
      <c r="GL112" s="30"/>
      <c r="GM112" s="30"/>
      <c r="GN112" s="30"/>
      <c r="GO112" s="30"/>
      <c r="GP112" s="30"/>
      <c r="GQ112" s="30"/>
      <c r="GR112" s="30"/>
      <c r="GS112" s="30"/>
      <c r="GT112" s="30"/>
      <c r="GU112" s="30"/>
      <c r="GV112" s="30"/>
      <c r="GW112" s="30"/>
      <c r="GX112" s="30"/>
      <c r="GY112" s="30"/>
      <c r="GZ112" s="30"/>
      <c r="HA112" s="30"/>
      <c r="HB112" s="30"/>
      <c r="HC112" s="30"/>
      <c r="HD112" s="30"/>
      <c r="HE112" s="30"/>
    </row>
    <row r="113">
      <c r="A113" s="9" t="s">
        <v>339</v>
      </c>
      <c r="B113" s="106">
        <v>2355.072</v>
      </c>
      <c r="C113" s="101">
        <f t="shared" si="10"/>
        <v>0.2355072464</v>
      </c>
      <c r="D113" s="87">
        <v>1.0</v>
      </c>
      <c r="E113" s="87">
        <v>1.0</v>
      </c>
      <c r="F113" s="87">
        <v>1.0</v>
      </c>
      <c r="G113" s="87">
        <v>1.0</v>
      </c>
      <c r="H113" s="87">
        <v>1.0</v>
      </c>
      <c r="I113" s="87">
        <v>1.0</v>
      </c>
      <c r="J113" s="87">
        <v>1.0</v>
      </c>
      <c r="K113" s="87">
        <v>1.0</v>
      </c>
      <c r="L113" s="87">
        <v>1.0</v>
      </c>
      <c r="M113" s="87">
        <v>1.0</v>
      </c>
      <c r="N113" s="87">
        <v>1.0</v>
      </c>
      <c r="O113" s="87">
        <v>1.0</v>
      </c>
      <c r="P113" s="87">
        <v>1.0</v>
      </c>
      <c r="Q113" s="87">
        <v>1.0</v>
      </c>
      <c r="R113" s="87">
        <v>1.0</v>
      </c>
      <c r="S113" s="87">
        <v>1.0</v>
      </c>
      <c r="T113" s="87">
        <v>1.0</v>
      </c>
      <c r="U113" s="87">
        <v>1.0</v>
      </c>
      <c r="V113" s="87">
        <v>1.0</v>
      </c>
      <c r="W113" s="87">
        <v>1.0</v>
      </c>
      <c r="X113" s="87">
        <v>1.0</v>
      </c>
      <c r="Y113" s="87">
        <v>1.0</v>
      </c>
      <c r="Z113" s="87">
        <v>1.0</v>
      </c>
      <c r="AA113" s="87">
        <v>1.0</v>
      </c>
      <c r="AB113" s="87">
        <v>1.0</v>
      </c>
      <c r="AC113" s="87">
        <v>1.0</v>
      </c>
      <c r="AD113" s="87">
        <v>1.0</v>
      </c>
      <c r="AE113" s="87">
        <v>1.0</v>
      </c>
      <c r="AF113" s="87">
        <v>1.0</v>
      </c>
      <c r="AG113" s="87">
        <v>1.0</v>
      </c>
      <c r="AH113" s="87">
        <v>1.0</v>
      </c>
      <c r="AI113" s="87">
        <v>1.0</v>
      </c>
      <c r="AJ113" s="87">
        <v>1.0</v>
      </c>
      <c r="AK113" s="87">
        <v>1.0</v>
      </c>
      <c r="AL113" s="87">
        <v>1.0</v>
      </c>
      <c r="AM113" s="87">
        <v>1.0</v>
      </c>
      <c r="AN113" s="87">
        <v>1.0</v>
      </c>
      <c r="AO113" s="87">
        <v>1.0</v>
      </c>
      <c r="AP113" s="87">
        <v>1.0</v>
      </c>
      <c r="AQ113" s="87">
        <v>1.0</v>
      </c>
      <c r="AR113" s="87">
        <v>1.0</v>
      </c>
      <c r="AS113" s="87">
        <v>1.0</v>
      </c>
      <c r="AT113" s="87">
        <v>1.0</v>
      </c>
      <c r="AU113" s="87">
        <v>1.0</v>
      </c>
      <c r="AV113" s="87">
        <v>1.0</v>
      </c>
      <c r="AW113" s="87">
        <v>1.0</v>
      </c>
      <c r="AX113" s="87">
        <v>1.0</v>
      </c>
      <c r="AY113" s="87">
        <v>1.0</v>
      </c>
      <c r="AZ113" s="87">
        <v>1.0</v>
      </c>
      <c r="BA113" s="87">
        <v>1.0</v>
      </c>
      <c r="BB113" s="87">
        <v>1.0</v>
      </c>
      <c r="BC113" s="87">
        <v>1.0</v>
      </c>
      <c r="BD113" s="87">
        <v>1.0</v>
      </c>
      <c r="BE113" s="87">
        <v>1.0</v>
      </c>
      <c r="BF113" s="87">
        <v>1.0</v>
      </c>
      <c r="BG113" s="87">
        <v>1.0</v>
      </c>
      <c r="BH113" s="87">
        <v>1.0</v>
      </c>
      <c r="BI113" s="87">
        <v>1.0</v>
      </c>
      <c r="BJ113" s="87">
        <v>1.0</v>
      </c>
      <c r="BK113" s="87">
        <v>1.0</v>
      </c>
      <c r="BL113" s="87">
        <v>1.0</v>
      </c>
      <c r="BM113" s="87">
        <v>1.0</v>
      </c>
      <c r="BN113" s="87">
        <v>1.0</v>
      </c>
      <c r="BO113" s="87">
        <v>1.0</v>
      </c>
      <c r="BP113" s="87">
        <v>1.0</v>
      </c>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87"/>
      <c r="EM113" s="87"/>
      <c r="EN113" s="87"/>
      <c r="EO113" s="87"/>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c r="FL113" s="87"/>
      <c r="FM113" s="87"/>
      <c r="FN113" s="87"/>
      <c r="FO113" s="87"/>
      <c r="FP113" s="87"/>
      <c r="FQ113" s="87"/>
      <c r="FR113" s="87"/>
      <c r="FS113" s="87"/>
      <c r="FT113" s="87"/>
      <c r="FU113" s="87"/>
      <c r="FV113" s="87"/>
      <c r="FW113" s="87"/>
      <c r="FX113" s="87"/>
      <c r="FY113" s="87"/>
      <c r="FZ113" s="87"/>
      <c r="GA113" s="87"/>
      <c r="GB113" s="87"/>
      <c r="GC113" s="87"/>
      <c r="GD113" s="87"/>
      <c r="GE113" s="87"/>
      <c r="GF113" s="87"/>
      <c r="GG113" s="87"/>
      <c r="GH113" s="87"/>
      <c r="GI113" s="87"/>
      <c r="GJ113" s="87"/>
      <c r="GK113" s="87"/>
      <c r="GL113" s="87"/>
      <c r="GM113" s="87"/>
      <c r="GN113" s="87"/>
      <c r="GO113" s="87"/>
      <c r="GP113" s="87"/>
      <c r="GQ113" s="87"/>
      <c r="GR113" s="87"/>
      <c r="GS113" s="87"/>
      <c r="GT113" s="87"/>
      <c r="GU113" s="87"/>
      <c r="GV113" s="87"/>
      <c r="GW113" s="87"/>
      <c r="GX113" s="87"/>
      <c r="GY113" s="87"/>
      <c r="GZ113" s="87"/>
      <c r="HA113" s="87"/>
      <c r="HB113" s="87"/>
      <c r="HC113" s="87"/>
      <c r="HD113" s="87"/>
      <c r="HE113" s="87"/>
    </row>
    <row r="114">
      <c r="A114" s="9" t="s">
        <v>340</v>
      </c>
      <c r="B114" s="106">
        <v>0.011</v>
      </c>
      <c r="C114" s="101">
        <f t="shared" si="10"/>
        <v>0.01086956522</v>
      </c>
      <c r="D114" s="87">
        <v>1.0</v>
      </c>
      <c r="E114" s="87">
        <v>1.0</v>
      </c>
      <c r="F114" s="87">
        <v>1.0</v>
      </c>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30"/>
      <c r="EJ114" s="30"/>
      <c r="EK114" s="30"/>
      <c r="EL114" s="30"/>
      <c r="EM114" s="30"/>
      <c r="EN114" s="30"/>
      <c r="EO114" s="30"/>
      <c r="EP114" s="30"/>
      <c r="EQ114" s="30"/>
      <c r="ER114" s="30"/>
      <c r="ES114" s="30"/>
      <c r="ET114" s="30"/>
      <c r="EU114" s="30"/>
      <c r="EV114" s="30"/>
      <c r="EW114" s="30"/>
      <c r="EX114" s="30"/>
      <c r="EY114" s="30"/>
      <c r="EZ114" s="30"/>
      <c r="FA114" s="30"/>
      <c r="FB114" s="30"/>
      <c r="FC114" s="30"/>
      <c r="FD114" s="30"/>
      <c r="FE114" s="30"/>
      <c r="FF114" s="30"/>
      <c r="FG114" s="30"/>
      <c r="FH114" s="30"/>
      <c r="FI114" s="30"/>
      <c r="FJ114" s="30"/>
      <c r="FK114" s="30"/>
      <c r="FL114" s="30"/>
      <c r="FM114" s="30"/>
      <c r="FN114" s="30"/>
      <c r="FO114" s="30"/>
      <c r="FP114" s="30"/>
      <c r="FQ114" s="30"/>
      <c r="FR114" s="30"/>
      <c r="FS114" s="30"/>
      <c r="FT114" s="30"/>
      <c r="FU114" s="30"/>
      <c r="FV114" s="30"/>
      <c r="FW114" s="30"/>
      <c r="FX114" s="30"/>
      <c r="FY114" s="30"/>
      <c r="FZ114" s="30"/>
      <c r="GA114" s="30"/>
      <c r="GB114" s="30"/>
      <c r="GC114" s="30"/>
      <c r="GD114" s="30"/>
      <c r="GE114" s="30"/>
      <c r="GF114" s="30"/>
      <c r="GG114" s="30"/>
      <c r="GH114" s="30"/>
      <c r="GI114" s="30"/>
      <c r="GJ114" s="30"/>
      <c r="GK114" s="30"/>
      <c r="GL114" s="30"/>
      <c r="GM114" s="30"/>
      <c r="GN114" s="30"/>
      <c r="GO114" s="30"/>
      <c r="GP114" s="30"/>
      <c r="GQ114" s="30"/>
      <c r="GR114" s="30"/>
      <c r="GS114" s="30"/>
      <c r="GT114" s="30"/>
      <c r="GU114" s="30"/>
      <c r="GV114" s="30"/>
      <c r="GW114" s="30"/>
      <c r="GX114" s="30"/>
      <c r="GY114" s="30"/>
      <c r="GZ114" s="30"/>
      <c r="HA114" s="30"/>
      <c r="HB114" s="30"/>
      <c r="HC114" s="30"/>
      <c r="HD114" s="30"/>
      <c r="HE114" s="30"/>
    </row>
    <row r="115">
      <c r="A115" s="64" t="s">
        <v>341</v>
      </c>
      <c r="B115" s="106">
        <f t="shared" ref="B115:B129" si="11">15*C115</f>
        <v>0.8695652174</v>
      </c>
      <c r="C115" s="101">
        <f t="shared" si="10"/>
        <v>0.05797101449</v>
      </c>
      <c r="D115" s="87">
        <v>15.0</v>
      </c>
      <c r="E115" s="87">
        <v>15.0</v>
      </c>
      <c r="F115" s="87">
        <v>15.0</v>
      </c>
      <c r="G115" s="87">
        <v>15.0</v>
      </c>
      <c r="H115" s="87">
        <v>15.0</v>
      </c>
      <c r="I115" s="87">
        <v>15.0</v>
      </c>
      <c r="J115" s="87">
        <v>15.0</v>
      </c>
      <c r="K115" s="87">
        <v>15.0</v>
      </c>
      <c r="L115" s="87">
        <v>15.0</v>
      </c>
      <c r="M115" s="87">
        <v>15.0</v>
      </c>
      <c r="N115" s="87">
        <v>15.0</v>
      </c>
      <c r="O115" s="87">
        <v>15.0</v>
      </c>
      <c r="P115" s="87">
        <v>15.0</v>
      </c>
      <c r="Q115" s="87">
        <v>15.0</v>
      </c>
      <c r="R115" s="87">
        <v>15.0</v>
      </c>
      <c r="S115" s="87">
        <v>15.0</v>
      </c>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30"/>
      <c r="EJ115" s="30"/>
      <c r="EK115" s="30"/>
      <c r="EL115" s="30"/>
      <c r="EM115" s="30"/>
      <c r="EN115" s="30"/>
      <c r="EO115" s="30"/>
      <c r="EP115" s="30"/>
      <c r="EQ115" s="30"/>
      <c r="ER115" s="30"/>
      <c r="ES115" s="30"/>
      <c r="ET115" s="30"/>
      <c r="EU115" s="30"/>
      <c r="EV115" s="30"/>
      <c r="EW115" s="30"/>
      <c r="EX115" s="30"/>
      <c r="EY115" s="30"/>
      <c r="EZ115" s="30"/>
      <c r="FA115" s="30"/>
      <c r="FB115" s="30"/>
      <c r="FC115" s="30"/>
      <c r="FD115" s="30"/>
      <c r="FE115" s="30"/>
      <c r="FF115" s="30"/>
      <c r="FG115" s="30"/>
      <c r="FH115" s="30"/>
      <c r="FI115" s="30"/>
      <c r="FJ115" s="30"/>
      <c r="FK115" s="30"/>
      <c r="FL115" s="30"/>
      <c r="FM115" s="30"/>
      <c r="FN115" s="30"/>
      <c r="FO115" s="30"/>
      <c r="FP115" s="30"/>
      <c r="FQ115" s="30"/>
      <c r="FR115" s="30"/>
      <c r="FS115" s="30"/>
      <c r="FT115" s="30"/>
      <c r="FU115" s="30"/>
      <c r="FV115" s="30"/>
      <c r="FW115" s="30"/>
      <c r="FX115" s="30"/>
      <c r="FY115" s="30"/>
      <c r="FZ115" s="30"/>
      <c r="GA115" s="30"/>
      <c r="GB115" s="30"/>
      <c r="GC115" s="30"/>
      <c r="GD115" s="30"/>
      <c r="GE115" s="30"/>
      <c r="GF115" s="30"/>
      <c r="GG115" s="30"/>
      <c r="GH115" s="30"/>
      <c r="GI115" s="30"/>
      <c r="GJ115" s="30"/>
      <c r="GK115" s="30"/>
      <c r="GL115" s="30"/>
      <c r="GM115" s="30"/>
      <c r="GN115" s="30"/>
      <c r="GO115" s="30"/>
      <c r="GP115" s="30"/>
      <c r="GQ115" s="30"/>
      <c r="GR115" s="30"/>
      <c r="GS115" s="30"/>
      <c r="GT115" s="30"/>
      <c r="GU115" s="30"/>
      <c r="GV115" s="30"/>
      <c r="GW115" s="30"/>
      <c r="GX115" s="30"/>
      <c r="GY115" s="30"/>
      <c r="GZ115" s="30"/>
      <c r="HA115" s="30"/>
      <c r="HB115" s="30"/>
      <c r="HC115" s="30"/>
      <c r="HD115" s="30"/>
      <c r="HE115" s="30"/>
    </row>
    <row r="116">
      <c r="A116" s="64" t="s">
        <v>302</v>
      </c>
      <c r="B116" s="106">
        <f t="shared" si="11"/>
        <v>0.7608695652</v>
      </c>
      <c r="C116" s="101">
        <f t="shared" si="10"/>
        <v>0.05072463768</v>
      </c>
      <c r="D116" s="87">
        <v>15.0</v>
      </c>
      <c r="E116" s="87">
        <v>15.0</v>
      </c>
      <c r="F116" s="87">
        <v>15.0</v>
      </c>
      <c r="G116" s="87">
        <v>15.0</v>
      </c>
      <c r="H116" s="87">
        <v>15.0</v>
      </c>
      <c r="I116" s="87">
        <v>15.0</v>
      </c>
      <c r="J116" s="87">
        <v>15.0</v>
      </c>
      <c r="K116" s="87">
        <v>15.0</v>
      </c>
      <c r="L116" s="87">
        <v>15.0</v>
      </c>
      <c r="M116" s="87">
        <v>15.0</v>
      </c>
      <c r="N116" s="87">
        <v>15.0</v>
      </c>
      <c r="O116" s="87">
        <v>15.0</v>
      </c>
      <c r="P116" s="87">
        <v>15.0</v>
      </c>
      <c r="Q116" s="87">
        <v>15.0</v>
      </c>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30"/>
      <c r="EJ116" s="30"/>
      <c r="EK116" s="30"/>
      <c r="EL116" s="30"/>
      <c r="EM116" s="30"/>
      <c r="EN116" s="30"/>
      <c r="EO116" s="30"/>
      <c r="EP116" s="30"/>
      <c r="EQ116" s="30"/>
      <c r="ER116" s="30"/>
      <c r="ES116" s="30"/>
      <c r="ET116" s="30"/>
      <c r="EU116" s="30"/>
      <c r="EV116" s="30"/>
      <c r="EW116" s="30"/>
      <c r="EX116" s="30"/>
      <c r="EY116" s="30"/>
      <c r="EZ116" s="30"/>
      <c r="FA116" s="30"/>
      <c r="FB116" s="30"/>
      <c r="FC116" s="30"/>
      <c r="FD116" s="30"/>
      <c r="FE116" s="30"/>
      <c r="FF116" s="30"/>
      <c r="FG116" s="30"/>
      <c r="FH116" s="30"/>
      <c r="FI116" s="30"/>
      <c r="FJ116" s="30"/>
      <c r="FK116" s="30"/>
      <c r="FL116" s="30"/>
      <c r="FM116" s="30"/>
      <c r="FN116" s="30"/>
      <c r="FO116" s="30"/>
      <c r="FP116" s="30"/>
      <c r="FQ116" s="30"/>
      <c r="FR116" s="30"/>
      <c r="FS116" s="30"/>
      <c r="FT116" s="30"/>
      <c r="FU116" s="30"/>
      <c r="FV116" s="30"/>
      <c r="FW116" s="30"/>
      <c r="FX116" s="30"/>
      <c r="FY116" s="30"/>
      <c r="FZ116" s="30"/>
      <c r="GA116" s="30"/>
      <c r="GB116" s="30"/>
      <c r="GC116" s="30"/>
      <c r="GD116" s="30"/>
      <c r="GE116" s="30"/>
      <c r="GF116" s="30"/>
      <c r="GG116" s="30"/>
      <c r="GH116" s="30"/>
      <c r="GI116" s="30"/>
      <c r="GJ116" s="30"/>
      <c r="GK116" s="30"/>
      <c r="GL116" s="30"/>
      <c r="GM116" s="30"/>
      <c r="GN116" s="30"/>
      <c r="GO116" s="30"/>
      <c r="GP116" s="30"/>
      <c r="GQ116" s="30"/>
      <c r="GR116" s="30"/>
      <c r="GS116" s="30"/>
      <c r="GT116" s="30"/>
      <c r="GU116" s="30"/>
      <c r="GV116" s="30"/>
      <c r="GW116" s="30"/>
      <c r="GX116" s="30"/>
      <c r="GY116" s="30"/>
      <c r="GZ116" s="30"/>
      <c r="HA116" s="30"/>
      <c r="HB116" s="30"/>
      <c r="HC116" s="30"/>
      <c r="HD116" s="30"/>
      <c r="HE116" s="30"/>
    </row>
    <row r="117">
      <c r="A117" s="64" t="s">
        <v>303</v>
      </c>
      <c r="B117" s="106">
        <f t="shared" si="11"/>
        <v>1.032608696</v>
      </c>
      <c r="C117" s="101">
        <f t="shared" si="10"/>
        <v>0.06884057971</v>
      </c>
      <c r="D117" s="87">
        <v>15.0</v>
      </c>
      <c r="E117" s="87">
        <v>15.0</v>
      </c>
      <c r="F117" s="87">
        <v>15.0</v>
      </c>
      <c r="G117" s="87">
        <v>15.0</v>
      </c>
      <c r="H117" s="87">
        <v>15.0</v>
      </c>
      <c r="I117" s="87">
        <v>15.0</v>
      </c>
      <c r="J117" s="87">
        <v>15.0</v>
      </c>
      <c r="K117" s="87">
        <v>15.0</v>
      </c>
      <c r="L117" s="87">
        <v>15.0</v>
      </c>
      <c r="M117" s="87">
        <v>15.0</v>
      </c>
      <c r="N117" s="87">
        <v>15.0</v>
      </c>
      <c r="O117" s="87">
        <v>15.0</v>
      </c>
      <c r="P117" s="87">
        <v>15.0</v>
      </c>
      <c r="Q117" s="87">
        <v>15.0</v>
      </c>
      <c r="R117" s="87">
        <v>15.0</v>
      </c>
      <c r="S117" s="87">
        <v>15.0</v>
      </c>
      <c r="T117" s="87">
        <v>15.0</v>
      </c>
      <c r="U117" s="87">
        <v>15.0</v>
      </c>
      <c r="V117" s="87">
        <v>15.0</v>
      </c>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30"/>
      <c r="EJ117" s="30"/>
      <c r="EK117" s="30"/>
      <c r="EL117" s="30"/>
      <c r="EM117" s="30"/>
      <c r="EN117" s="30"/>
      <c r="EO117" s="30"/>
      <c r="EP117" s="30"/>
      <c r="EQ117" s="30"/>
      <c r="ER117" s="30"/>
      <c r="ES117" s="30"/>
      <c r="ET117" s="30"/>
      <c r="EU117" s="30"/>
      <c r="EV117" s="30"/>
      <c r="EW117" s="30"/>
      <c r="EX117" s="30"/>
      <c r="EY117" s="30"/>
      <c r="EZ117" s="30"/>
      <c r="FA117" s="30"/>
      <c r="FB117" s="30"/>
      <c r="FC117" s="30"/>
      <c r="FD117" s="30"/>
      <c r="FE117" s="30"/>
      <c r="FF117" s="30"/>
      <c r="FG117" s="30"/>
      <c r="FH117" s="30"/>
      <c r="FI117" s="30"/>
      <c r="FJ117" s="30"/>
      <c r="FK117" s="30"/>
      <c r="FL117" s="30"/>
      <c r="FM117" s="30"/>
      <c r="FN117" s="30"/>
      <c r="FO117" s="30"/>
      <c r="FP117" s="30"/>
      <c r="FQ117" s="30"/>
      <c r="FR117" s="30"/>
      <c r="FS117" s="30"/>
      <c r="FT117" s="30"/>
      <c r="FU117" s="30"/>
      <c r="FV117" s="30"/>
      <c r="FW117" s="30"/>
      <c r="FX117" s="30"/>
      <c r="FY117" s="30"/>
      <c r="FZ117" s="30"/>
      <c r="GA117" s="30"/>
      <c r="GB117" s="30"/>
      <c r="GC117" s="30"/>
      <c r="GD117" s="30"/>
      <c r="GE117" s="30"/>
      <c r="GF117" s="30"/>
      <c r="GG117" s="30"/>
      <c r="GH117" s="30"/>
      <c r="GI117" s="30"/>
      <c r="GJ117" s="30"/>
      <c r="GK117" s="30"/>
      <c r="GL117" s="30"/>
      <c r="GM117" s="30"/>
      <c r="GN117" s="30"/>
      <c r="GO117" s="30"/>
      <c r="GP117" s="30"/>
      <c r="GQ117" s="30"/>
      <c r="GR117" s="30"/>
      <c r="GS117" s="30"/>
      <c r="GT117" s="30"/>
      <c r="GU117" s="30"/>
      <c r="GV117" s="30"/>
      <c r="GW117" s="30"/>
      <c r="GX117" s="30"/>
      <c r="GY117" s="30"/>
      <c r="GZ117" s="30"/>
      <c r="HA117" s="30"/>
      <c r="HB117" s="30"/>
      <c r="HC117" s="30"/>
      <c r="HD117" s="30"/>
      <c r="HE117" s="30"/>
    </row>
    <row r="118">
      <c r="A118" s="64" t="s">
        <v>304</v>
      </c>
      <c r="B118" s="106">
        <f t="shared" si="11"/>
        <v>0.8695652174</v>
      </c>
      <c r="C118" s="101">
        <f t="shared" si="10"/>
        <v>0.05797101449</v>
      </c>
      <c r="D118" s="87">
        <v>15.0</v>
      </c>
      <c r="E118" s="87">
        <v>15.0</v>
      </c>
      <c r="F118" s="87">
        <v>15.0</v>
      </c>
      <c r="G118" s="87">
        <v>15.0</v>
      </c>
      <c r="H118" s="87">
        <v>15.0</v>
      </c>
      <c r="I118" s="87">
        <v>15.0</v>
      </c>
      <c r="J118" s="87">
        <v>15.0</v>
      </c>
      <c r="K118" s="87">
        <v>15.0</v>
      </c>
      <c r="L118" s="87">
        <v>15.0</v>
      </c>
      <c r="M118" s="87">
        <v>15.0</v>
      </c>
      <c r="N118" s="87">
        <v>15.0</v>
      </c>
      <c r="O118" s="87">
        <v>15.0</v>
      </c>
      <c r="P118" s="87">
        <v>15.0</v>
      </c>
      <c r="Q118" s="87">
        <v>15.0</v>
      </c>
      <c r="R118" s="87">
        <v>15.0</v>
      </c>
      <c r="S118" s="87">
        <v>15.0</v>
      </c>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30"/>
      <c r="EJ118" s="30"/>
      <c r="EK118" s="30"/>
      <c r="EL118" s="30"/>
      <c r="EM118" s="30"/>
      <c r="EN118" s="30"/>
      <c r="EO118" s="30"/>
      <c r="EP118" s="30"/>
      <c r="EQ118" s="30"/>
      <c r="ER118" s="30"/>
      <c r="ES118" s="30"/>
      <c r="ET118" s="30"/>
      <c r="EU118" s="30"/>
      <c r="EV118" s="30"/>
      <c r="EW118" s="30"/>
      <c r="EX118" s="30"/>
      <c r="EY118" s="30"/>
      <c r="EZ118" s="30"/>
      <c r="FA118" s="30"/>
      <c r="FB118" s="30"/>
      <c r="FC118" s="30"/>
      <c r="FD118" s="30"/>
      <c r="FE118" s="30"/>
      <c r="FF118" s="30"/>
      <c r="FG118" s="30"/>
      <c r="FH118" s="30"/>
      <c r="FI118" s="30"/>
      <c r="FJ118" s="30"/>
      <c r="FK118" s="30"/>
      <c r="FL118" s="30"/>
      <c r="FM118" s="30"/>
      <c r="FN118" s="30"/>
      <c r="FO118" s="30"/>
      <c r="FP118" s="30"/>
      <c r="FQ118" s="30"/>
      <c r="FR118" s="30"/>
      <c r="FS118" s="30"/>
      <c r="FT118" s="30"/>
      <c r="FU118" s="30"/>
      <c r="FV118" s="30"/>
      <c r="FW118" s="30"/>
      <c r="FX118" s="30"/>
      <c r="FY118" s="30"/>
      <c r="FZ118" s="30"/>
      <c r="GA118" s="30"/>
      <c r="GB118" s="30"/>
      <c r="GC118" s="30"/>
      <c r="GD118" s="30"/>
      <c r="GE118" s="30"/>
      <c r="GF118" s="30"/>
      <c r="GG118" s="30"/>
      <c r="GH118" s="30"/>
      <c r="GI118" s="30"/>
      <c r="GJ118" s="30"/>
      <c r="GK118" s="30"/>
      <c r="GL118" s="30"/>
      <c r="GM118" s="30"/>
      <c r="GN118" s="30"/>
      <c r="GO118" s="30"/>
      <c r="GP118" s="30"/>
      <c r="GQ118" s="30"/>
      <c r="GR118" s="30"/>
      <c r="GS118" s="30"/>
      <c r="GT118" s="30"/>
      <c r="GU118" s="30"/>
      <c r="GV118" s="30"/>
      <c r="GW118" s="30"/>
      <c r="GX118" s="30"/>
      <c r="GY118" s="30"/>
      <c r="GZ118" s="30"/>
      <c r="HA118" s="30"/>
      <c r="HB118" s="30"/>
      <c r="HC118" s="30"/>
      <c r="HD118" s="30"/>
      <c r="HE118" s="30"/>
    </row>
    <row r="119">
      <c r="A119" s="64" t="s">
        <v>305</v>
      </c>
      <c r="B119" s="106">
        <f t="shared" si="11"/>
        <v>0.4347826087</v>
      </c>
      <c r="C119" s="101">
        <f t="shared" si="10"/>
        <v>0.02898550725</v>
      </c>
      <c r="D119" s="87">
        <v>15.0</v>
      </c>
      <c r="E119" s="87">
        <v>15.0</v>
      </c>
      <c r="F119" s="87">
        <v>15.0</v>
      </c>
      <c r="G119" s="87">
        <v>15.0</v>
      </c>
      <c r="H119" s="87">
        <v>15.0</v>
      </c>
      <c r="I119" s="87">
        <v>15.0</v>
      </c>
      <c r="J119" s="87">
        <v>15.0</v>
      </c>
      <c r="K119" s="87">
        <v>15.0</v>
      </c>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30"/>
      <c r="EO119" s="30"/>
      <c r="EP119" s="30"/>
      <c r="EQ119" s="30"/>
      <c r="ER119" s="30"/>
      <c r="ES119" s="30"/>
      <c r="ET119" s="30"/>
      <c r="EU119" s="30"/>
      <c r="EV119" s="30"/>
      <c r="EW119" s="30"/>
      <c r="EX119" s="30"/>
      <c r="EY119" s="30"/>
      <c r="EZ119" s="30"/>
      <c r="FA119" s="30"/>
      <c r="FB119" s="30"/>
      <c r="FC119" s="30"/>
      <c r="FD119" s="30"/>
      <c r="FE119" s="30"/>
      <c r="FF119" s="30"/>
      <c r="FG119" s="30"/>
      <c r="FH119" s="30"/>
      <c r="FI119" s="30"/>
      <c r="FJ119" s="30"/>
      <c r="FK119" s="30"/>
      <c r="FL119" s="30"/>
      <c r="FM119" s="30"/>
      <c r="FN119" s="30"/>
      <c r="FO119" s="30"/>
      <c r="FP119" s="30"/>
      <c r="FQ119" s="30"/>
      <c r="FR119" s="30"/>
      <c r="FS119" s="30"/>
      <c r="FT119" s="30"/>
      <c r="FU119" s="30"/>
      <c r="FV119" s="30"/>
      <c r="FW119" s="30"/>
      <c r="FX119" s="30"/>
      <c r="FY119" s="30"/>
      <c r="FZ119" s="30"/>
      <c r="GA119" s="30"/>
      <c r="GB119" s="30"/>
      <c r="GC119" s="30"/>
      <c r="GD119" s="30"/>
      <c r="GE119" s="30"/>
      <c r="GF119" s="30"/>
      <c r="GG119" s="30"/>
      <c r="GH119" s="30"/>
      <c r="GI119" s="30"/>
      <c r="GJ119" s="30"/>
      <c r="GK119" s="30"/>
      <c r="GL119" s="30"/>
      <c r="GM119" s="30"/>
      <c r="GN119" s="30"/>
      <c r="GO119" s="30"/>
      <c r="GP119" s="30"/>
      <c r="GQ119" s="30"/>
      <c r="GR119" s="30"/>
      <c r="GS119" s="30"/>
      <c r="GT119" s="30"/>
      <c r="GU119" s="30"/>
      <c r="GV119" s="30"/>
      <c r="GW119" s="30"/>
      <c r="GX119" s="30"/>
      <c r="GY119" s="30"/>
      <c r="GZ119" s="30"/>
      <c r="HA119" s="30"/>
      <c r="HB119" s="30"/>
      <c r="HC119" s="30"/>
      <c r="HD119" s="30"/>
      <c r="HE119" s="30"/>
    </row>
    <row r="120">
      <c r="A120" s="64" t="s">
        <v>306</v>
      </c>
      <c r="B120" s="106">
        <f t="shared" si="11"/>
        <v>0.597826087</v>
      </c>
      <c r="C120" s="101">
        <f t="shared" si="10"/>
        <v>0.03985507246</v>
      </c>
      <c r="D120" s="87">
        <v>15.0</v>
      </c>
      <c r="E120" s="87">
        <v>15.0</v>
      </c>
      <c r="F120" s="87">
        <v>15.0</v>
      </c>
      <c r="G120" s="87">
        <v>15.0</v>
      </c>
      <c r="H120" s="87">
        <v>15.0</v>
      </c>
      <c r="I120" s="87">
        <v>15.0</v>
      </c>
      <c r="J120" s="87">
        <v>15.0</v>
      </c>
      <c r="K120" s="87">
        <v>15.0</v>
      </c>
      <c r="L120" s="87">
        <v>15.0</v>
      </c>
      <c r="M120" s="87">
        <v>15.0</v>
      </c>
      <c r="N120" s="87">
        <v>15.0</v>
      </c>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30"/>
      <c r="EJ120" s="30"/>
      <c r="EK120" s="30"/>
      <c r="EL120" s="30"/>
      <c r="EM120" s="30"/>
      <c r="EN120" s="30"/>
      <c r="EO120" s="30"/>
      <c r="EP120" s="30"/>
      <c r="EQ120" s="30"/>
      <c r="ER120" s="30"/>
      <c r="ES120" s="30"/>
      <c r="ET120" s="30"/>
      <c r="EU120" s="30"/>
      <c r="EV120" s="30"/>
      <c r="EW120" s="30"/>
      <c r="EX120" s="30"/>
      <c r="EY120" s="30"/>
      <c r="EZ120" s="30"/>
      <c r="FA120" s="30"/>
      <c r="FB120" s="30"/>
      <c r="FC120" s="30"/>
      <c r="FD120" s="30"/>
      <c r="FE120" s="30"/>
      <c r="FF120" s="30"/>
      <c r="FG120" s="30"/>
      <c r="FH120" s="30"/>
      <c r="FI120" s="30"/>
      <c r="FJ120" s="30"/>
      <c r="FK120" s="30"/>
      <c r="FL120" s="30"/>
      <c r="FM120" s="30"/>
      <c r="FN120" s="30"/>
      <c r="FO120" s="30"/>
      <c r="FP120" s="30"/>
      <c r="FQ120" s="30"/>
      <c r="FR120" s="30"/>
      <c r="FS120" s="30"/>
      <c r="FT120" s="30"/>
      <c r="FU120" s="30"/>
      <c r="FV120" s="30"/>
      <c r="FW120" s="30"/>
      <c r="FX120" s="30"/>
      <c r="FY120" s="30"/>
      <c r="FZ120" s="30"/>
      <c r="GA120" s="30"/>
      <c r="GB120" s="30"/>
      <c r="GC120" s="30"/>
      <c r="GD120" s="30"/>
      <c r="GE120" s="30"/>
      <c r="GF120" s="30"/>
      <c r="GG120" s="30"/>
      <c r="GH120" s="30"/>
      <c r="GI120" s="30"/>
      <c r="GJ120" s="30"/>
      <c r="GK120" s="30"/>
      <c r="GL120" s="30"/>
      <c r="GM120" s="30"/>
      <c r="GN120" s="30"/>
      <c r="GO120" s="30"/>
      <c r="GP120" s="30"/>
      <c r="GQ120" s="30"/>
      <c r="GR120" s="30"/>
      <c r="GS120" s="30"/>
      <c r="GT120" s="30"/>
      <c r="GU120" s="30"/>
      <c r="GV120" s="30"/>
      <c r="GW120" s="30"/>
      <c r="GX120" s="30"/>
      <c r="GY120" s="30"/>
      <c r="GZ120" s="30"/>
      <c r="HA120" s="30"/>
      <c r="HB120" s="30"/>
      <c r="HC120" s="30"/>
      <c r="HD120" s="30"/>
      <c r="HE120" s="30"/>
    </row>
    <row r="121">
      <c r="A121" s="64" t="s">
        <v>307</v>
      </c>
      <c r="B121" s="106">
        <f t="shared" si="11"/>
        <v>0.652173913</v>
      </c>
      <c r="C121" s="101">
        <f t="shared" si="10"/>
        <v>0.04347826087</v>
      </c>
      <c r="D121" s="87">
        <v>15.0</v>
      </c>
      <c r="E121" s="87">
        <v>15.0</v>
      </c>
      <c r="F121" s="87">
        <v>15.0</v>
      </c>
      <c r="G121" s="87">
        <v>15.0</v>
      </c>
      <c r="H121" s="87">
        <v>15.0</v>
      </c>
      <c r="I121" s="87">
        <v>15.0</v>
      </c>
      <c r="J121" s="87">
        <v>15.0</v>
      </c>
      <c r="K121" s="87">
        <v>15.0</v>
      </c>
      <c r="L121" s="87">
        <v>15.0</v>
      </c>
      <c r="M121" s="87">
        <v>15.0</v>
      </c>
      <c r="N121" s="87">
        <v>15.0</v>
      </c>
      <c r="O121" s="87">
        <v>15.0</v>
      </c>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30"/>
      <c r="EJ121" s="30"/>
      <c r="EK121" s="30"/>
      <c r="EL121" s="30"/>
      <c r="EM121" s="30"/>
      <c r="EN121" s="30"/>
      <c r="EO121" s="30"/>
      <c r="EP121" s="30"/>
      <c r="EQ121" s="30"/>
      <c r="ER121" s="30"/>
      <c r="ES121" s="30"/>
      <c r="ET121" s="30"/>
      <c r="EU121" s="30"/>
      <c r="EV121" s="30"/>
      <c r="EW121" s="30"/>
      <c r="EX121" s="30"/>
      <c r="EY121" s="30"/>
      <c r="EZ121" s="30"/>
      <c r="FA121" s="30"/>
      <c r="FB121" s="30"/>
      <c r="FC121" s="30"/>
      <c r="FD121" s="30"/>
      <c r="FE121" s="30"/>
      <c r="FF121" s="30"/>
      <c r="FG121" s="30"/>
      <c r="FH121" s="30"/>
      <c r="FI121" s="30"/>
      <c r="FJ121" s="30"/>
      <c r="FK121" s="30"/>
      <c r="FL121" s="30"/>
      <c r="FM121" s="30"/>
      <c r="FN121" s="30"/>
      <c r="FO121" s="30"/>
      <c r="FP121" s="30"/>
      <c r="FQ121" s="30"/>
      <c r="FR121" s="30"/>
      <c r="FS121" s="30"/>
      <c r="FT121" s="30"/>
      <c r="FU121" s="30"/>
      <c r="FV121" s="30"/>
      <c r="FW121" s="30"/>
      <c r="FX121" s="30"/>
      <c r="FY121" s="30"/>
      <c r="FZ121" s="30"/>
      <c r="GA121" s="30"/>
      <c r="GB121" s="30"/>
      <c r="GC121" s="30"/>
      <c r="GD121" s="30"/>
      <c r="GE121" s="30"/>
      <c r="GF121" s="30"/>
      <c r="GG121" s="30"/>
      <c r="GH121" s="30"/>
      <c r="GI121" s="30"/>
      <c r="GJ121" s="30"/>
      <c r="GK121" s="30"/>
      <c r="GL121" s="30"/>
      <c r="GM121" s="30"/>
      <c r="GN121" s="30"/>
      <c r="GO121" s="30"/>
      <c r="GP121" s="30"/>
      <c r="GQ121" s="30"/>
      <c r="GR121" s="30"/>
      <c r="GS121" s="30"/>
      <c r="GT121" s="30"/>
      <c r="GU121" s="30"/>
      <c r="GV121" s="30"/>
      <c r="GW121" s="30"/>
      <c r="GX121" s="30"/>
      <c r="GY121" s="30"/>
      <c r="GZ121" s="30"/>
      <c r="HA121" s="30"/>
      <c r="HB121" s="30"/>
      <c r="HC121" s="30"/>
      <c r="HD121" s="30"/>
      <c r="HE121" s="30"/>
    </row>
    <row r="122">
      <c r="A122" s="64" t="s">
        <v>308</v>
      </c>
      <c r="B122" s="106">
        <f t="shared" si="11"/>
        <v>0.7608695652</v>
      </c>
      <c r="C122" s="101">
        <f t="shared" si="10"/>
        <v>0.05072463768</v>
      </c>
      <c r="D122" s="87">
        <v>15.0</v>
      </c>
      <c r="E122" s="87">
        <v>15.0</v>
      </c>
      <c r="F122" s="87">
        <v>15.0</v>
      </c>
      <c r="G122" s="87">
        <v>15.0</v>
      </c>
      <c r="H122" s="87">
        <v>15.0</v>
      </c>
      <c r="I122" s="87">
        <v>15.0</v>
      </c>
      <c r="J122" s="87">
        <v>15.0</v>
      </c>
      <c r="K122" s="87">
        <v>15.0</v>
      </c>
      <c r="L122" s="87">
        <v>15.0</v>
      </c>
      <c r="M122" s="87">
        <v>15.0</v>
      </c>
      <c r="N122" s="87">
        <v>15.0</v>
      </c>
      <c r="O122" s="87">
        <v>15.0</v>
      </c>
      <c r="P122" s="87">
        <v>15.0</v>
      </c>
      <c r="Q122" s="87">
        <v>15.0</v>
      </c>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30"/>
      <c r="EJ122" s="30"/>
      <c r="EK122" s="30"/>
      <c r="EL122" s="30"/>
      <c r="EM122" s="30"/>
      <c r="EN122" s="30"/>
      <c r="EO122" s="30"/>
      <c r="EP122" s="30"/>
      <c r="EQ122" s="30"/>
      <c r="ER122" s="30"/>
      <c r="ES122" s="30"/>
      <c r="ET122" s="30"/>
      <c r="EU122" s="30"/>
      <c r="EV122" s="30"/>
      <c r="EW122" s="30"/>
      <c r="EX122" s="30"/>
      <c r="EY122" s="30"/>
      <c r="EZ122" s="30"/>
      <c r="FA122" s="30"/>
      <c r="FB122" s="30"/>
      <c r="FC122" s="30"/>
      <c r="FD122" s="30"/>
      <c r="FE122" s="30"/>
      <c r="FF122" s="30"/>
      <c r="FG122" s="30"/>
      <c r="FH122" s="30"/>
      <c r="FI122" s="30"/>
      <c r="FJ122" s="30"/>
      <c r="FK122" s="30"/>
      <c r="FL122" s="30"/>
      <c r="FM122" s="30"/>
      <c r="FN122" s="30"/>
      <c r="FO122" s="30"/>
      <c r="FP122" s="30"/>
      <c r="FQ122" s="30"/>
      <c r="FR122" s="30"/>
      <c r="FS122" s="30"/>
      <c r="FT122" s="30"/>
      <c r="FU122" s="30"/>
      <c r="FV122" s="30"/>
      <c r="FW122" s="30"/>
      <c r="FX122" s="30"/>
      <c r="FY122" s="30"/>
      <c r="FZ122" s="30"/>
      <c r="GA122" s="30"/>
      <c r="GB122" s="30"/>
      <c r="GC122" s="30"/>
      <c r="GD122" s="30"/>
      <c r="GE122" s="30"/>
      <c r="GF122" s="30"/>
      <c r="GG122" s="30"/>
      <c r="GH122" s="30"/>
      <c r="GI122" s="30"/>
      <c r="GJ122" s="30"/>
      <c r="GK122" s="30"/>
      <c r="GL122" s="30"/>
      <c r="GM122" s="30"/>
      <c r="GN122" s="30"/>
      <c r="GO122" s="30"/>
      <c r="GP122" s="30"/>
      <c r="GQ122" s="30"/>
      <c r="GR122" s="30"/>
      <c r="GS122" s="30"/>
      <c r="GT122" s="30"/>
      <c r="GU122" s="30"/>
      <c r="GV122" s="30"/>
      <c r="GW122" s="30"/>
      <c r="GX122" s="30"/>
      <c r="GY122" s="30"/>
      <c r="GZ122" s="30"/>
      <c r="HA122" s="30"/>
      <c r="HB122" s="30"/>
      <c r="HC122" s="30"/>
      <c r="HD122" s="30"/>
      <c r="HE122" s="30"/>
    </row>
    <row r="123">
      <c r="A123" s="64" t="s">
        <v>309</v>
      </c>
      <c r="B123" s="106">
        <f t="shared" si="11"/>
        <v>0.4891304348</v>
      </c>
      <c r="C123" s="101">
        <f t="shared" si="10"/>
        <v>0.03260869565</v>
      </c>
      <c r="D123" s="87">
        <v>15.0</v>
      </c>
      <c r="E123" s="87">
        <v>15.0</v>
      </c>
      <c r="F123" s="87">
        <v>15.0</v>
      </c>
      <c r="G123" s="87">
        <v>15.0</v>
      </c>
      <c r="H123" s="87">
        <v>15.0</v>
      </c>
      <c r="I123" s="87">
        <v>15.0</v>
      </c>
      <c r="J123" s="87">
        <v>15.0</v>
      </c>
      <c r="K123" s="87">
        <v>15.0</v>
      </c>
      <c r="L123" s="87">
        <v>15.0</v>
      </c>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30"/>
      <c r="EJ123" s="30"/>
      <c r="EK123" s="30"/>
      <c r="EL123" s="30"/>
      <c r="EM123" s="30"/>
      <c r="EN123" s="30"/>
      <c r="EO123" s="30"/>
      <c r="EP123" s="30"/>
      <c r="EQ123" s="30"/>
      <c r="ER123" s="30"/>
      <c r="ES123" s="30"/>
      <c r="ET123" s="30"/>
      <c r="EU123" s="30"/>
      <c r="EV123" s="30"/>
      <c r="EW123" s="30"/>
      <c r="EX123" s="30"/>
      <c r="EY123" s="30"/>
      <c r="EZ123" s="30"/>
      <c r="FA123" s="30"/>
      <c r="FB123" s="30"/>
      <c r="FC123" s="30"/>
      <c r="FD123" s="30"/>
      <c r="FE123" s="30"/>
      <c r="FF123" s="30"/>
      <c r="FG123" s="30"/>
      <c r="FH123" s="30"/>
      <c r="FI123" s="30"/>
      <c r="FJ123" s="30"/>
      <c r="FK123" s="30"/>
      <c r="FL123" s="30"/>
      <c r="FM123" s="30"/>
      <c r="FN123" s="30"/>
      <c r="FO123" s="30"/>
      <c r="FP123" s="30"/>
      <c r="FQ123" s="30"/>
      <c r="FR123" s="30"/>
      <c r="FS123" s="30"/>
      <c r="FT123" s="30"/>
      <c r="FU123" s="30"/>
      <c r="FV123" s="30"/>
      <c r="FW123" s="30"/>
      <c r="FX123" s="30"/>
      <c r="FY123" s="30"/>
      <c r="FZ123" s="30"/>
      <c r="GA123" s="30"/>
      <c r="GB123" s="30"/>
      <c r="GC123" s="30"/>
      <c r="GD123" s="30"/>
      <c r="GE123" s="30"/>
      <c r="GF123" s="30"/>
      <c r="GG123" s="30"/>
      <c r="GH123" s="30"/>
      <c r="GI123" s="30"/>
      <c r="GJ123" s="30"/>
      <c r="GK123" s="30"/>
      <c r="GL123" s="30"/>
      <c r="GM123" s="30"/>
      <c r="GN123" s="30"/>
      <c r="GO123" s="30"/>
      <c r="GP123" s="30"/>
      <c r="GQ123" s="30"/>
      <c r="GR123" s="30"/>
      <c r="GS123" s="30"/>
      <c r="GT123" s="30"/>
      <c r="GU123" s="30"/>
      <c r="GV123" s="30"/>
      <c r="GW123" s="30"/>
      <c r="GX123" s="30"/>
      <c r="GY123" s="30"/>
      <c r="GZ123" s="30"/>
      <c r="HA123" s="30"/>
      <c r="HB123" s="30"/>
      <c r="HC123" s="30"/>
      <c r="HD123" s="30"/>
      <c r="HE123" s="30"/>
    </row>
    <row r="124">
      <c r="A124" s="64" t="s">
        <v>310</v>
      </c>
      <c r="B124" s="106">
        <f t="shared" si="11"/>
        <v>0.9239130435</v>
      </c>
      <c r="C124" s="101">
        <f t="shared" si="10"/>
        <v>0.0615942029</v>
      </c>
      <c r="D124" s="87">
        <v>15.0</v>
      </c>
      <c r="E124" s="87">
        <v>15.0</v>
      </c>
      <c r="F124" s="87">
        <v>15.0</v>
      </c>
      <c r="G124" s="87">
        <v>15.0</v>
      </c>
      <c r="H124" s="87">
        <v>15.0</v>
      </c>
      <c r="I124" s="87">
        <v>15.0</v>
      </c>
      <c r="J124" s="87">
        <v>15.0</v>
      </c>
      <c r="K124" s="87">
        <v>15.0</v>
      </c>
      <c r="L124" s="87">
        <v>15.0</v>
      </c>
      <c r="M124" s="87">
        <v>15.0</v>
      </c>
      <c r="N124" s="87">
        <v>15.0</v>
      </c>
      <c r="O124" s="87">
        <v>15.0</v>
      </c>
      <c r="P124" s="87">
        <v>15.0</v>
      </c>
      <c r="Q124" s="87">
        <v>15.0</v>
      </c>
      <c r="R124" s="87">
        <v>15.0</v>
      </c>
      <c r="S124" s="87">
        <v>15.0</v>
      </c>
      <c r="T124" s="87">
        <v>15.0</v>
      </c>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30"/>
      <c r="EJ124" s="30"/>
      <c r="EK124" s="30"/>
      <c r="EL124" s="30"/>
      <c r="EM124" s="30"/>
      <c r="EN124" s="30"/>
      <c r="EO124" s="30"/>
      <c r="EP124" s="30"/>
      <c r="EQ124" s="30"/>
      <c r="ER124" s="30"/>
      <c r="ES124" s="30"/>
      <c r="ET124" s="30"/>
      <c r="EU124" s="30"/>
      <c r="EV124" s="30"/>
      <c r="EW124" s="30"/>
      <c r="EX124" s="30"/>
      <c r="EY124" s="30"/>
      <c r="EZ124" s="30"/>
      <c r="FA124" s="30"/>
      <c r="FB124" s="30"/>
      <c r="FC124" s="30"/>
      <c r="FD124" s="30"/>
      <c r="FE124" s="30"/>
      <c r="FF124" s="30"/>
      <c r="FG124" s="30"/>
      <c r="FH124" s="30"/>
      <c r="FI124" s="30"/>
      <c r="FJ124" s="30"/>
      <c r="FK124" s="30"/>
      <c r="FL124" s="30"/>
      <c r="FM124" s="30"/>
      <c r="FN124" s="30"/>
      <c r="FO124" s="30"/>
      <c r="FP124" s="30"/>
      <c r="FQ124" s="30"/>
      <c r="FR124" s="30"/>
      <c r="FS124" s="30"/>
      <c r="FT124" s="30"/>
      <c r="FU124" s="30"/>
      <c r="FV124" s="30"/>
      <c r="FW124" s="30"/>
      <c r="FX124" s="30"/>
      <c r="FY124" s="30"/>
      <c r="FZ124" s="30"/>
      <c r="GA124" s="30"/>
      <c r="GB124" s="30"/>
      <c r="GC124" s="30"/>
      <c r="GD124" s="30"/>
      <c r="GE124" s="30"/>
      <c r="GF124" s="30"/>
      <c r="GG124" s="30"/>
      <c r="GH124" s="30"/>
      <c r="GI124" s="30"/>
      <c r="GJ124" s="30"/>
      <c r="GK124" s="30"/>
      <c r="GL124" s="30"/>
      <c r="GM124" s="30"/>
      <c r="GN124" s="30"/>
      <c r="GO124" s="30"/>
      <c r="GP124" s="30"/>
      <c r="GQ124" s="30"/>
      <c r="GR124" s="30"/>
      <c r="GS124" s="30"/>
      <c r="GT124" s="30"/>
      <c r="GU124" s="30"/>
      <c r="GV124" s="30"/>
      <c r="GW124" s="30"/>
      <c r="GX124" s="30"/>
      <c r="GY124" s="30"/>
      <c r="GZ124" s="30"/>
      <c r="HA124" s="30"/>
      <c r="HB124" s="30"/>
      <c r="HC124" s="30"/>
      <c r="HD124" s="30"/>
      <c r="HE124" s="30"/>
    </row>
    <row r="125">
      <c r="A125" s="64" t="s">
        <v>311</v>
      </c>
      <c r="B125" s="106">
        <f t="shared" si="11"/>
        <v>0.652173913</v>
      </c>
      <c r="C125" s="101">
        <f t="shared" si="10"/>
        <v>0.04347826087</v>
      </c>
      <c r="D125" s="87">
        <v>15.0</v>
      </c>
      <c r="E125" s="87">
        <v>15.0</v>
      </c>
      <c r="F125" s="87">
        <v>15.0</v>
      </c>
      <c r="G125" s="87">
        <v>15.0</v>
      </c>
      <c r="H125" s="87">
        <v>15.0</v>
      </c>
      <c r="I125" s="87">
        <v>15.0</v>
      </c>
      <c r="J125" s="87">
        <v>15.0</v>
      </c>
      <c r="K125" s="87">
        <v>15.0</v>
      </c>
      <c r="L125" s="87">
        <v>15.0</v>
      </c>
      <c r="M125" s="87">
        <v>15.0</v>
      </c>
      <c r="N125" s="87">
        <v>15.0</v>
      </c>
      <c r="O125" s="87">
        <v>15.0</v>
      </c>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30"/>
      <c r="EJ125" s="30"/>
      <c r="EK125" s="30"/>
      <c r="EL125" s="30"/>
      <c r="EM125" s="30"/>
      <c r="EN125" s="30"/>
      <c r="EO125" s="30"/>
      <c r="EP125" s="30"/>
      <c r="EQ125" s="30"/>
      <c r="ER125" s="30"/>
      <c r="ES125" s="30"/>
      <c r="ET125" s="30"/>
      <c r="EU125" s="30"/>
      <c r="EV125" s="30"/>
      <c r="EW125" s="30"/>
      <c r="EX125" s="30"/>
      <c r="EY125" s="30"/>
      <c r="EZ125" s="30"/>
      <c r="FA125" s="30"/>
      <c r="FB125" s="30"/>
      <c r="FC125" s="30"/>
      <c r="FD125" s="30"/>
      <c r="FE125" s="30"/>
      <c r="FF125" s="30"/>
      <c r="FG125" s="30"/>
      <c r="FH125" s="30"/>
      <c r="FI125" s="30"/>
      <c r="FJ125" s="30"/>
      <c r="FK125" s="30"/>
      <c r="FL125" s="30"/>
      <c r="FM125" s="30"/>
      <c r="FN125" s="30"/>
      <c r="FO125" s="30"/>
      <c r="FP125" s="30"/>
      <c r="FQ125" s="30"/>
      <c r="FR125" s="30"/>
      <c r="FS125" s="30"/>
      <c r="FT125" s="30"/>
      <c r="FU125" s="30"/>
      <c r="FV125" s="30"/>
      <c r="FW125" s="30"/>
      <c r="FX125" s="30"/>
      <c r="FY125" s="30"/>
      <c r="FZ125" s="30"/>
      <c r="GA125" s="30"/>
      <c r="GB125" s="30"/>
      <c r="GC125" s="30"/>
      <c r="GD125" s="30"/>
      <c r="GE125" s="30"/>
      <c r="GF125" s="30"/>
      <c r="GG125" s="30"/>
      <c r="GH125" s="30"/>
      <c r="GI125" s="30"/>
      <c r="GJ125" s="30"/>
      <c r="GK125" s="30"/>
      <c r="GL125" s="30"/>
      <c r="GM125" s="30"/>
      <c r="GN125" s="30"/>
      <c r="GO125" s="30"/>
      <c r="GP125" s="30"/>
      <c r="GQ125" s="30"/>
      <c r="GR125" s="30"/>
      <c r="GS125" s="30"/>
      <c r="GT125" s="30"/>
      <c r="GU125" s="30"/>
      <c r="GV125" s="30"/>
      <c r="GW125" s="30"/>
      <c r="GX125" s="30"/>
      <c r="GY125" s="30"/>
      <c r="GZ125" s="30"/>
      <c r="HA125" s="30"/>
      <c r="HB125" s="30"/>
      <c r="HC125" s="30"/>
      <c r="HD125" s="30"/>
      <c r="HE125" s="30"/>
    </row>
    <row r="126">
      <c r="A126" s="64" t="s">
        <v>312</v>
      </c>
      <c r="B126" s="106">
        <f t="shared" si="11"/>
        <v>0.4347826087</v>
      </c>
      <c r="C126" s="101">
        <f t="shared" si="10"/>
        <v>0.02898550725</v>
      </c>
      <c r="D126" s="87">
        <v>15.0</v>
      </c>
      <c r="E126" s="87">
        <v>15.0</v>
      </c>
      <c r="F126" s="87">
        <v>15.0</v>
      </c>
      <c r="G126" s="87">
        <v>15.0</v>
      </c>
      <c r="H126" s="87">
        <v>15.0</v>
      </c>
      <c r="I126" s="87">
        <v>15.0</v>
      </c>
      <c r="J126" s="87">
        <v>15.0</v>
      </c>
      <c r="K126" s="87">
        <v>15.0</v>
      </c>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30"/>
      <c r="EJ126" s="30"/>
      <c r="EK126" s="30"/>
      <c r="EL126" s="30"/>
      <c r="EM126" s="30"/>
      <c r="EN126" s="30"/>
      <c r="EO126" s="30"/>
      <c r="EP126" s="30"/>
      <c r="EQ126" s="30"/>
      <c r="ER126" s="30"/>
      <c r="ES126" s="30"/>
      <c r="ET126" s="30"/>
      <c r="EU126" s="30"/>
      <c r="EV126" s="30"/>
      <c r="EW126" s="30"/>
      <c r="EX126" s="30"/>
      <c r="EY126" s="30"/>
      <c r="EZ126" s="30"/>
      <c r="FA126" s="30"/>
      <c r="FB126" s="30"/>
      <c r="FC126" s="30"/>
      <c r="FD126" s="30"/>
      <c r="FE126" s="30"/>
      <c r="FF126" s="30"/>
      <c r="FG126" s="30"/>
      <c r="FH126" s="30"/>
      <c r="FI126" s="30"/>
      <c r="FJ126" s="30"/>
      <c r="FK126" s="30"/>
      <c r="FL126" s="30"/>
      <c r="FM126" s="30"/>
      <c r="FN126" s="30"/>
      <c r="FO126" s="30"/>
      <c r="FP126" s="30"/>
      <c r="FQ126" s="30"/>
      <c r="FR126" s="30"/>
      <c r="FS126" s="30"/>
      <c r="FT126" s="30"/>
      <c r="FU126" s="30"/>
      <c r="FV126" s="30"/>
      <c r="FW126" s="30"/>
      <c r="FX126" s="30"/>
      <c r="FY126" s="30"/>
      <c r="FZ126" s="30"/>
      <c r="GA126" s="30"/>
      <c r="GB126" s="30"/>
      <c r="GC126" s="30"/>
      <c r="GD126" s="30"/>
      <c r="GE126" s="30"/>
      <c r="GF126" s="30"/>
      <c r="GG126" s="30"/>
      <c r="GH126" s="30"/>
      <c r="GI126" s="30"/>
      <c r="GJ126" s="30"/>
      <c r="GK126" s="30"/>
      <c r="GL126" s="30"/>
      <c r="GM126" s="30"/>
      <c r="GN126" s="30"/>
      <c r="GO126" s="30"/>
      <c r="GP126" s="30"/>
      <c r="GQ126" s="30"/>
      <c r="GR126" s="30"/>
      <c r="GS126" s="30"/>
      <c r="GT126" s="30"/>
      <c r="GU126" s="30"/>
      <c r="GV126" s="30"/>
      <c r="GW126" s="30"/>
      <c r="GX126" s="30"/>
      <c r="GY126" s="30"/>
      <c r="GZ126" s="30"/>
      <c r="HA126" s="30"/>
      <c r="HB126" s="30"/>
      <c r="HC126" s="30"/>
      <c r="HD126" s="30"/>
      <c r="HE126" s="30"/>
    </row>
    <row r="127">
      <c r="A127" s="64" t="s">
        <v>313</v>
      </c>
      <c r="B127" s="106">
        <f t="shared" si="11"/>
        <v>0.7065217391</v>
      </c>
      <c r="C127" s="101">
        <f t="shared" si="10"/>
        <v>0.04710144928</v>
      </c>
      <c r="D127" s="87">
        <v>15.0</v>
      </c>
      <c r="E127" s="87">
        <v>15.0</v>
      </c>
      <c r="F127" s="87">
        <v>15.0</v>
      </c>
      <c r="G127" s="87">
        <v>15.0</v>
      </c>
      <c r="H127" s="87">
        <v>15.0</v>
      </c>
      <c r="I127" s="87">
        <v>15.0</v>
      </c>
      <c r="J127" s="87">
        <v>15.0</v>
      </c>
      <c r="K127" s="87">
        <v>15.0</v>
      </c>
      <c r="L127" s="87">
        <v>15.0</v>
      </c>
      <c r="M127" s="87">
        <v>15.0</v>
      </c>
      <c r="N127" s="87">
        <v>15.0</v>
      </c>
      <c r="O127" s="87">
        <v>15.0</v>
      </c>
      <c r="P127" s="87">
        <v>15.0</v>
      </c>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30"/>
      <c r="EJ127" s="30"/>
      <c r="EK127" s="30"/>
      <c r="EL127" s="30"/>
      <c r="EM127" s="30"/>
      <c r="EN127" s="30"/>
      <c r="EO127" s="30"/>
      <c r="EP127" s="30"/>
      <c r="EQ127" s="30"/>
      <c r="ER127" s="30"/>
      <c r="ES127" s="30"/>
      <c r="ET127" s="30"/>
      <c r="EU127" s="30"/>
      <c r="EV127" s="30"/>
      <c r="EW127" s="30"/>
      <c r="EX127" s="30"/>
      <c r="EY127" s="30"/>
      <c r="EZ127" s="30"/>
      <c r="FA127" s="30"/>
      <c r="FB127" s="30"/>
      <c r="FC127" s="30"/>
      <c r="FD127" s="30"/>
      <c r="FE127" s="30"/>
      <c r="FF127" s="30"/>
      <c r="FG127" s="30"/>
      <c r="FH127" s="30"/>
      <c r="FI127" s="30"/>
      <c r="FJ127" s="30"/>
      <c r="FK127" s="30"/>
      <c r="FL127" s="30"/>
      <c r="FM127" s="30"/>
      <c r="FN127" s="30"/>
      <c r="FO127" s="30"/>
      <c r="FP127" s="30"/>
      <c r="FQ127" s="30"/>
      <c r="FR127" s="30"/>
      <c r="FS127" s="30"/>
      <c r="FT127" s="30"/>
      <c r="FU127" s="30"/>
      <c r="FV127" s="30"/>
      <c r="FW127" s="30"/>
      <c r="FX127" s="30"/>
      <c r="FY127" s="30"/>
      <c r="FZ127" s="30"/>
      <c r="GA127" s="30"/>
      <c r="GB127" s="30"/>
      <c r="GC127" s="30"/>
      <c r="GD127" s="30"/>
      <c r="GE127" s="30"/>
      <c r="GF127" s="30"/>
      <c r="GG127" s="30"/>
      <c r="GH127" s="30"/>
      <c r="GI127" s="30"/>
      <c r="GJ127" s="30"/>
      <c r="GK127" s="30"/>
      <c r="GL127" s="30"/>
      <c r="GM127" s="30"/>
      <c r="GN127" s="30"/>
      <c r="GO127" s="30"/>
      <c r="GP127" s="30"/>
      <c r="GQ127" s="30"/>
      <c r="GR127" s="30"/>
      <c r="GS127" s="30"/>
      <c r="GT127" s="30"/>
      <c r="GU127" s="30"/>
      <c r="GV127" s="30"/>
      <c r="GW127" s="30"/>
      <c r="GX127" s="30"/>
      <c r="GY127" s="30"/>
      <c r="GZ127" s="30"/>
      <c r="HA127" s="30"/>
      <c r="HB127" s="30"/>
      <c r="HC127" s="30"/>
      <c r="HD127" s="30"/>
      <c r="HE127" s="30"/>
    </row>
    <row r="128">
      <c r="A128" s="64" t="s">
        <v>314</v>
      </c>
      <c r="B128" s="106">
        <f t="shared" si="11"/>
        <v>0.2717391304</v>
      </c>
      <c r="C128" s="101">
        <f t="shared" si="10"/>
        <v>0.01811594203</v>
      </c>
      <c r="D128" s="87">
        <v>15.0</v>
      </c>
      <c r="E128" s="87">
        <v>15.0</v>
      </c>
      <c r="F128" s="87">
        <v>15.0</v>
      </c>
      <c r="G128" s="87">
        <v>15.0</v>
      </c>
      <c r="H128" s="87">
        <v>15.0</v>
      </c>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30"/>
      <c r="EJ128" s="30"/>
      <c r="EK128" s="30"/>
      <c r="EL128" s="30"/>
      <c r="EM128" s="30"/>
      <c r="EN128" s="30"/>
      <c r="EO128" s="30"/>
      <c r="EP128" s="30"/>
      <c r="EQ128" s="30"/>
      <c r="ER128" s="30"/>
      <c r="ES128" s="30"/>
      <c r="ET128" s="30"/>
      <c r="EU128" s="30"/>
      <c r="EV128" s="30"/>
      <c r="EW128" s="30"/>
      <c r="EX128" s="30"/>
      <c r="EY128" s="30"/>
      <c r="EZ128" s="30"/>
      <c r="FA128" s="30"/>
      <c r="FB128" s="30"/>
      <c r="FC128" s="30"/>
      <c r="FD128" s="30"/>
      <c r="FE128" s="30"/>
      <c r="FF128" s="30"/>
      <c r="FG128" s="30"/>
      <c r="FH128" s="30"/>
      <c r="FI128" s="30"/>
      <c r="FJ128" s="30"/>
      <c r="FK128" s="30"/>
      <c r="FL128" s="30"/>
      <c r="FM128" s="30"/>
      <c r="FN128" s="30"/>
      <c r="FO128" s="30"/>
      <c r="FP128" s="30"/>
      <c r="FQ128" s="30"/>
      <c r="FR128" s="30"/>
      <c r="FS128" s="30"/>
      <c r="FT128" s="30"/>
      <c r="FU128" s="30"/>
      <c r="FV128" s="30"/>
      <c r="FW128" s="30"/>
      <c r="FX128" s="30"/>
      <c r="FY128" s="30"/>
      <c r="FZ128" s="30"/>
      <c r="GA128" s="30"/>
      <c r="GB128" s="30"/>
      <c r="GC128" s="30"/>
      <c r="GD128" s="30"/>
      <c r="GE128" s="30"/>
      <c r="GF128" s="30"/>
      <c r="GG128" s="30"/>
      <c r="GH128" s="30"/>
      <c r="GI128" s="30"/>
      <c r="GJ128" s="30"/>
      <c r="GK128" s="30"/>
      <c r="GL128" s="30"/>
      <c r="GM128" s="30"/>
      <c r="GN128" s="30"/>
      <c r="GO128" s="30"/>
      <c r="GP128" s="30"/>
      <c r="GQ128" s="30"/>
      <c r="GR128" s="30"/>
      <c r="GS128" s="30"/>
      <c r="GT128" s="30"/>
      <c r="GU128" s="30"/>
      <c r="GV128" s="30"/>
      <c r="GW128" s="30"/>
      <c r="GX128" s="30"/>
      <c r="GY128" s="30"/>
      <c r="GZ128" s="30"/>
      <c r="HA128" s="30"/>
      <c r="HB128" s="30"/>
      <c r="HC128" s="30"/>
      <c r="HD128" s="30"/>
      <c r="HE128" s="30"/>
    </row>
    <row r="129">
      <c r="A129" s="64" t="s">
        <v>315</v>
      </c>
      <c r="B129" s="106">
        <f t="shared" si="11"/>
        <v>0.2173913043</v>
      </c>
      <c r="C129" s="101">
        <f t="shared" si="10"/>
        <v>0.01449275362</v>
      </c>
      <c r="D129" s="87">
        <v>15.0</v>
      </c>
      <c r="E129" s="87">
        <v>15.0</v>
      </c>
      <c r="F129" s="87">
        <v>15.0</v>
      </c>
      <c r="G129" s="87">
        <v>15.0</v>
      </c>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30"/>
      <c r="EO129" s="30"/>
      <c r="EP129" s="30"/>
      <c r="EQ129" s="30"/>
      <c r="ER129" s="30"/>
      <c r="ES129" s="30"/>
      <c r="ET129" s="30"/>
      <c r="EU129" s="30"/>
      <c r="EV129" s="30"/>
      <c r="EW129" s="30"/>
      <c r="EX129" s="30"/>
      <c r="EY129" s="30"/>
      <c r="EZ129" s="30"/>
      <c r="FA129" s="30"/>
      <c r="FB129" s="30"/>
      <c r="FC129" s="30"/>
      <c r="FD129" s="30"/>
      <c r="FE129" s="30"/>
      <c r="FF129" s="30"/>
      <c r="FG129" s="30"/>
      <c r="FH129" s="30"/>
      <c r="FI129" s="30"/>
      <c r="FJ129" s="30"/>
      <c r="FK129" s="30"/>
      <c r="FL129" s="30"/>
      <c r="FM129" s="30"/>
      <c r="FN129" s="30"/>
      <c r="FO129" s="30"/>
      <c r="FP129" s="30"/>
      <c r="FQ129" s="30"/>
      <c r="FR129" s="30"/>
      <c r="FS129" s="30"/>
      <c r="FT129" s="30"/>
      <c r="FU129" s="30"/>
      <c r="FV129" s="30"/>
      <c r="FW129" s="30"/>
      <c r="FX129" s="30"/>
      <c r="FY129" s="30"/>
      <c r="FZ129" s="30"/>
      <c r="GA129" s="30"/>
      <c r="GB129" s="30"/>
      <c r="GC129" s="30"/>
      <c r="GD129" s="30"/>
      <c r="GE129" s="30"/>
      <c r="GF129" s="30"/>
      <c r="GG129" s="30"/>
      <c r="GH129" s="30"/>
      <c r="GI129" s="30"/>
      <c r="GJ129" s="30"/>
      <c r="GK129" s="30"/>
      <c r="GL129" s="30"/>
      <c r="GM129" s="30"/>
      <c r="GN129" s="30"/>
      <c r="GO129" s="30"/>
      <c r="GP129" s="30"/>
      <c r="GQ129" s="30"/>
      <c r="GR129" s="30"/>
      <c r="GS129" s="30"/>
      <c r="GT129" s="30"/>
      <c r="GU129" s="30"/>
      <c r="GV129" s="30"/>
      <c r="GW129" s="30"/>
      <c r="GX129" s="30"/>
      <c r="GY129" s="30"/>
      <c r="GZ129" s="30"/>
      <c r="HA129" s="30"/>
      <c r="HB129" s="30"/>
      <c r="HC129" s="30"/>
      <c r="HD129" s="30"/>
      <c r="HE129" s="30"/>
    </row>
    <row r="130">
      <c r="A130" s="96"/>
      <c r="B130" s="96"/>
      <c r="C130" s="104"/>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30"/>
      <c r="EO130" s="30"/>
      <c r="EP130" s="30"/>
      <c r="EQ130" s="30"/>
      <c r="ER130" s="30"/>
      <c r="ES130" s="30"/>
      <c r="ET130" s="30"/>
      <c r="EU130" s="30"/>
      <c r="EV130" s="30"/>
      <c r="EW130" s="30"/>
      <c r="EX130" s="30"/>
      <c r="EY130" s="30"/>
      <c r="EZ130" s="30"/>
      <c r="FA130" s="30"/>
      <c r="FB130" s="30"/>
      <c r="FC130" s="30"/>
      <c r="FD130" s="30"/>
      <c r="FE130" s="30"/>
      <c r="FF130" s="30"/>
      <c r="FG130" s="30"/>
      <c r="FH130" s="30"/>
      <c r="FI130" s="30"/>
      <c r="FJ130" s="30"/>
      <c r="FK130" s="30"/>
      <c r="FL130" s="30"/>
      <c r="FM130" s="30"/>
      <c r="FN130" s="30"/>
      <c r="FO130" s="30"/>
      <c r="FP130" s="30"/>
      <c r="FQ130" s="30"/>
      <c r="FR130" s="30"/>
      <c r="FS130" s="30"/>
      <c r="FT130" s="30"/>
      <c r="FU130" s="30"/>
      <c r="FV130" s="30"/>
      <c r="FW130" s="30"/>
      <c r="FX130" s="30"/>
      <c r="FY130" s="30"/>
      <c r="FZ130" s="30"/>
      <c r="GA130" s="30"/>
      <c r="GB130" s="30"/>
      <c r="GC130" s="30"/>
      <c r="GD130" s="30"/>
      <c r="GE130" s="30"/>
      <c r="GF130" s="30"/>
      <c r="GG130" s="30"/>
      <c r="GH130" s="30"/>
      <c r="GI130" s="30"/>
      <c r="GJ130" s="30"/>
      <c r="GK130" s="30"/>
      <c r="GL130" s="30"/>
      <c r="GM130" s="30"/>
      <c r="GN130" s="30"/>
      <c r="GO130" s="30"/>
      <c r="GP130" s="30"/>
      <c r="GQ130" s="30"/>
      <c r="GR130" s="30"/>
      <c r="GS130" s="30"/>
      <c r="GT130" s="30"/>
      <c r="GU130" s="30"/>
      <c r="GV130" s="30"/>
      <c r="GW130" s="30"/>
      <c r="GX130" s="30"/>
      <c r="GY130" s="30"/>
      <c r="GZ130" s="30"/>
      <c r="HA130" s="30"/>
      <c r="HB130" s="30"/>
      <c r="HC130" s="30"/>
      <c r="HD130" s="30"/>
      <c r="HE130" s="30"/>
    </row>
    <row r="131">
      <c r="A131" s="9" t="s">
        <v>342</v>
      </c>
      <c r="B131" s="9">
        <v>0.011</v>
      </c>
      <c r="C131" s="101">
        <v>0.00217</v>
      </c>
      <c r="D131" s="87">
        <v>1.0</v>
      </c>
      <c r="E131" s="87">
        <v>1.0</v>
      </c>
      <c r="F131" s="87">
        <v>1.0</v>
      </c>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30"/>
      <c r="EO131" s="30"/>
      <c r="EP131" s="30"/>
      <c r="EQ131" s="30"/>
      <c r="ER131" s="30"/>
      <c r="ES131" s="30"/>
      <c r="ET131" s="30"/>
      <c r="EU131" s="30"/>
      <c r="EV131" s="30"/>
      <c r="EW131" s="30"/>
      <c r="EX131" s="30"/>
      <c r="EY131" s="30"/>
      <c r="EZ131" s="30"/>
      <c r="FA131" s="30"/>
      <c r="FB131" s="30"/>
      <c r="FC131" s="30"/>
      <c r="FD131" s="30"/>
      <c r="FE131" s="30"/>
      <c r="FF131" s="30"/>
      <c r="FG131" s="30"/>
      <c r="FH131" s="30"/>
      <c r="FI131" s="30"/>
      <c r="FJ131" s="30"/>
      <c r="FK131" s="30"/>
      <c r="FL131" s="30"/>
      <c r="FM131" s="30"/>
      <c r="FN131" s="30"/>
      <c r="FO131" s="30"/>
      <c r="FP131" s="30"/>
      <c r="FQ131" s="30"/>
      <c r="FR131" s="30"/>
      <c r="FS131" s="30"/>
      <c r="FT131" s="30"/>
      <c r="FU131" s="30"/>
      <c r="FV131" s="30"/>
      <c r="FW131" s="30"/>
      <c r="FX131" s="30"/>
      <c r="FY131" s="30"/>
      <c r="FZ131" s="30"/>
      <c r="GA131" s="30"/>
      <c r="GB131" s="30"/>
      <c r="GC131" s="30"/>
      <c r="GD131" s="30"/>
      <c r="GE131" s="30"/>
      <c r="GF131" s="30"/>
      <c r="GG131" s="30"/>
      <c r="GH131" s="30"/>
      <c r="GI131" s="30"/>
      <c r="GJ131" s="30"/>
      <c r="GK131" s="30"/>
      <c r="GL131" s="30"/>
      <c r="GM131" s="30"/>
      <c r="GN131" s="30"/>
      <c r="GO131" s="30"/>
      <c r="GP131" s="30"/>
      <c r="GQ131" s="30"/>
      <c r="GR131" s="30"/>
      <c r="GS131" s="30"/>
      <c r="GT131" s="30"/>
      <c r="GU131" s="30"/>
      <c r="GV131" s="30"/>
      <c r="GW131" s="30"/>
      <c r="GX131" s="30"/>
      <c r="GY131" s="30"/>
      <c r="GZ131" s="30"/>
      <c r="HA131" s="30"/>
      <c r="HB131" s="30"/>
      <c r="HC131" s="30"/>
      <c r="HD131" s="30"/>
      <c r="HE131" s="30"/>
    </row>
    <row r="132">
      <c r="A132" s="55" t="s">
        <v>331</v>
      </c>
      <c r="B132" s="120">
        <f>C132/C110</f>
        <v>0.02171956522</v>
      </c>
      <c r="C132" s="121">
        <f>C110*(C114+5*C131) </f>
        <v>5.9946</v>
      </c>
      <c r="D132" s="30"/>
    </row>
    <row r="133">
      <c r="C133" s="122"/>
    </row>
    <row r="134">
      <c r="C134" s="122"/>
    </row>
    <row r="135">
      <c r="A135" s="95" t="s">
        <v>343</v>
      </c>
      <c r="B135" s="9" t="s">
        <v>344</v>
      </c>
      <c r="C135" s="69">
        <v>200.0</v>
      </c>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30"/>
      <c r="EO135" s="30"/>
      <c r="EP135" s="30"/>
      <c r="EQ135" s="30"/>
      <c r="ER135" s="30"/>
      <c r="ES135" s="30"/>
      <c r="ET135" s="30"/>
      <c r="EU135" s="30"/>
      <c r="EV135" s="30"/>
      <c r="EW135" s="30"/>
      <c r="EX135" s="30"/>
      <c r="EY135" s="30"/>
      <c r="EZ135" s="30"/>
      <c r="FA135" s="30"/>
      <c r="FB135" s="30"/>
      <c r="FC135" s="30"/>
      <c r="FD135" s="30"/>
      <c r="FE135" s="30"/>
      <c r="FF135" s="30"/>
      <c r="FG135" s="30"/>
      <c r="FH135" s="30"/>
      <c r="FI135" s="30"/>
      <c r="FJ135" s="30"/>
      <c r="FK135" s="30"/>
      <c r="FL135" s="30"/>
      <c r="FM135" s="30"/>
      <c r="FN135" s="30"/>
      <c r="FO135" s="30"/>
      <c r="FP135" s="30"/>
      <c r="FQ135" s="30"/>
      <c r="FR135" s="30"/>
      <c r="FS135" s="30"/>
      <c r="FT135" s="30"/>
      <c r="FU135" s="30"/>
      <c r="FV135" s="30"/>
      <c r="FW135" s="30"/>
      <c r="FX135" s="30"/>
      <c r="FY135" s="30"/>
      <c r="FZ135" s="30"/>
      <c r="GA135" s="30"/>
      <c r="GB135" s="30"/>
      <c r="GC135" s="30"/>
      <c r="GD135" s="30"/>
      <c r="GE135" s="30"/>
      <c r="GF135" s="30"/>
      <c r="GG135" s="30"/>
      <c r="GH135" s="30"/>
      <c r="GI135" s="30"/>
      <c r="GJ135" s="30"/>
      <c r="GK135" s="30"/>
      <c r="GL135" s="30"/>
      <c r="GM135" s="30"/>
      <c r="GN135" s="30"/>
      <c r="GO135" s="30"/>
      <c r="GP135" s="30"/>
      <c r="GQ135" s="30"/>
      <c r="GR135" s="30"/>
      <c r="GS135" s="30"/>
      <c r="GT135" s="30"/>
      <c r="GU135" s="30"/>
      <c r="GV135" s="30"/>
      <c r="GW135" s="30"/>
      <c r="GX135" s="30"/>
      <c r="GY135" s="30"/>
      <c r="GZ135" s="30"/>
      <c r="HA135" s="30"/>
      <c r="HB135" s="30"/>
      <c r="HC135" s="30"/>
      <c r="HD135" s="30"/>
      <c r="HE135" s="30"/>
    </row>
    <row r="136">
      <c r="A136" s="9" t="s">
        <v>287</v>
      </c>
      <c r="B136" s="9">
        <v>0.24</v>
      </c>
      <c r="C136" s="101">
        <v>0.08</v>
      </c>
      <c r="D136" s="30"/>
      <c r="E136" s="30"/>
      <c r="F136" s="30"/>
      <c r="G136" s="30"/>
      <c r="H136" s="30"/>
      <c r="I136" s="30"/>
      <c r="J136" s="30"/>
      <c r="K136" s="30"/>
      <c r="L136" s="30"/>
      <c r="M136" s="30"/>
      <c r="N136" s="30"/>
      <c r="O136" s="30"/>
      <c r="P136" s="30"/>
      <c r="Q136" s="30"/>
      <c r="R136" s="30"/>
      <c r="S136" s="30"/>
      <c r="T136" s="30"/>
      <c r="U136" s="87" t="s">
        <v>345</v>
      </c>
      <c r="V136" s="30"/>
      <c r="W136" s="30"/>
      <c r="X136" s="30"/>
      <c r="Y136" s="30"/>
      <c r="Z136" s="30"/>
      <c r="AA136" s="30"/>
      <c r="AB136" s="30"/>
      <c r="AC136" s="30"/>
      <c r="AD136" s="30"/>
      <c r="AE136" s="87" t="s">
        <v>346</v>
      </c>
      <c r="AF136" s="30"/>
      <c r="AG136" s="30"/>
      <c r="AH136" s="30"/>
      <c r="AI136" s="30"/>
      <c r="AJ136" s="30"/>
      <c r="AK136" s="30"/>
      <c r="AL136" s="30"/>
      <c r="AM136" s="30"/>
      <c r="AN136" s="30"/>
      <c r="AO136" s="30"/>
      <c r="AP136" s="30"/>
      <c r="AQ136" s="87" t="s">
        <v>295</v>
      </c>
      <c r="AR136" s="30"/>
      <c r="AS136" s="30"/>
      <c r="AT136" s="30"/>
      <c r="AU136" s="87" t="s">
        <v>347</v>
      </c>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87" t="s">
        <v>348</v>
      </c>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87" t="s">
        <v>292</v>
      </c>
      <c r="EA136" s="30"/>
      <c r="EB136" s="30"/>
      <c r="EC136" s="30"/>
      <c r="ED136" s="87" t="s">
        <v>348</v>
      </c>
      <c r="EE136" s="30"/>
      <c r="EF136" s="30"/>
      <c r="EG136" s="30"/>
      <c r="EH136" s="30"/>
      <c r="EI136" s="30"/>
      <c r="EJ136" s="30"/>
      <c r="EK136" s="30"/>
      <c r="EL136" s="30"/>
      <c r="EM136" s="30"/>
      <c r="EN136" s="30"/>
      <c r="EO136" s="30"/>
      <c r="EP136" s="30"/>
      <c r="EQ136" s="87" t="s">
        <v>349</v>
      </c>
      <c r="ER136" s="30"/>
      <c r="ES136" s="30"/>
      <c r="ET136" s="30"/>
      <c r="EU136" s="87" t="s">
        <v>350</v>
      </c>
      <c r="EV136" s="30"/>
      <c r="EW136" s="30"/>
      <c r="EX136" s="30"/>
      <c r="EY136" s="30"/>
      <c r="EZ136" s="30"/>
      <c r="FA136" s="30"/>
      <c r="FB136" s="30"/>
      <c r="FC136" s="30"/>
      <c r="FD136" s="30"/>
      <c r="FE136" s="30"/>
      <c r="FF136" s="30"/>
      <c r="FG136" s="30"/>
      <c r="FH136" s="30"/>
      <c r="FI136" s="30"/>
      <c r="FJ136" s="30"/>
      <c r="FK136" s="30"/>
      <c r="FL136" s="30"/>
      <c r="FM136" s="30"/>
      <c r="FN136" s="30"/>
      <c r="FO136" s="30"/>
      <c r="FP136" s="30"/>
      <c r="FQ136" s="30"/>
      <c r="FR136" s="30"/>
      <c r="FS136" s="87" t="s">
        <v>351</v>
      </c>
      <c r="FT136" s="30"/>
      <c r="FU136" s="87" t="s">
        <v>352</v>
      </c>
      <c r="FV136" s="30"/>
      <c r="FW136" s="9" t="s">
        <v>353</v>
      </c>
      <c r="FX136" s="64" t="s">
        <v>354</v>
      </c>
      <c r="FY136" s="30"/>
      <c r="FZ136" s="30"/>
      <c r="GA136" s="30"/>
      <c r="GB136" s="30"/>
      <c r="GC136" s="9" t="s">
        <v>355</v>
      </c>
      <c r="GD136" s="64" t="s">
        <v>298</v>
      </c>
      <c r="GE136" s="30"/>
      <c r="GF136" s="30"/>
      <c r="GG136" s="30"/>
      <c r="GH136" s="30"/>
      <c r="GI136" s="30"/>
      <c r="GJ136" s="30"/>
      <c r="GK136" s="30"/>
      <c r="GL136" s="30"/>
      <c r="GM136" s="30"/>
      <c r="GN136" s="30"/>
      <c r="GO136" s="30"/>
      <c r="GP136" s="30"/>
      <c r="GQ136" s="87" t="s">
        <v>356</v>
      </c>
      <c r="GR136" s="30"/>
      <c r="GS136" s="30"/>
      <c r="GT136" s="30"/>
      <c r="GU136" s="30"/>
      <c r="GV136" s="30"/>
      <c r="GW136" s="30"/>
      <c r="GX136" s="30"/>
      <c r="GY136" s="30"/>
      <c r="GZ136" s="30"/>
      <c r="HA136" s="30"/>
      <c r="HB136" s="30"/>
      <c r="HC136" s="30"/>
      <c r="HD136" s="30"/>
      <c r="HE136" s="30"/>
    </row>
    <row r="137">
      <c r="A137" s="9" t="s">
        <v>294</v>
      </c>
      <c r="B137" s="9">
        <v>0.195</v>
      </c>
      <c r="C137" s="101">
        <v>0.065</v>
      </c>
      <c r="D137" s="30"/>
      <c r="E137" s="30"/>
      <c r="F137" s="30"/>
      <c r="G137" s="30"/>
      <c r="H137" s="30"/>
      <c r="I137" s="30"/>
      <c r="J137" s="30"/>
      <c r="K137" s="30"/>
      <c r="L137" s="30"/>
      <c r="M137" s="30"/>
      <c r="N137" s="9" t="s">
        <v>357</v>
      </c>
      <c r="O137" s="87" t="s">
        <v>358</v>
      </c>
      <c r="P137" s="87" t="s">
        <v>296</v>
      </c>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87" t="s">
        <v>359</v>
      </c>
      <c r="AQ137" s="30"/>
      <c r="AR137" s="30"/>
      <c r="AS137" s="30"/>
      <c r="AT137" s="30"/>
      <c r="AU137" s="30"/>
      <c r="AV137" s="30"/>
      <c r="AW137" s="30"/>
      <c r="AX137" s="30"/>
      <c r="AY137" s="30"/>
      <c r="AZ137" s="30"/>
      <c r="BA137" s="30"/>
      <c r="BB137" s="30"/>
      <c r="BC137" s="30"/>
      <c r="BD137" s="9" t="s">
        <v>360</v>
      </c>
      <c r="BE137" s="64" t="s">
        <v>361</v>
      </c>
      <c r="BF137" s="30"/>
      <c r="BG137" s="30"/>
      <c r="BH137" s="30"/>
      <c r="BI137" s="30"/>
      <c r="BJ137" s="87" t="s">
        <v>290</v>
      </c>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87" t="s">
        <v>292</v>
      </c>
      <c r="CQ137" s="30"/>
      <c r="CR137" s="30"/>
      <c r="CS137" s="87" t="s">
        <v>348</v>
      </c>
      <c r="CT137" s="30"/>
      <c r="CU137" s="30"/>
      <c r="CV137" s="30"/>
      <c r="CW137" s="30"/>
      <c r="CX137" s="30"/>
      <c r="CY137" s="30"/>
      <c r="CZ137" s="30"/>
      <c r="DA137" s="30"/>
      <c r="DB137" s="30"/>
      <c r="DC137" s="30"/>
      <c r="DD137" s="30"/>
      <c r="DE137" s="30"/>
      <c r="DF137" s="87" t="s">
        <v>288</v>
      </c>
      <c r="DG137" s="30"/>
      <c r="DH137" s="30"/>
      <c r="DI137" s="30"/>
      <c r="DJ137" s="30"/>
      <c r="DK137" s="30"/>
      <c r="DL137" s="30"/>
      <c r="DM137" s="30"/>
      <c r="DN137" s="30"/>
      <c r="DO137" s="87" t="s">
        <v>362</v>
      </c>
      <c r="DP137" s="30"/>
      <c r="DQ137" s="87" t="s">
        <v>348</v>
      </c>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30"/>
      <c r="EO137" s="30"/>
      <c r="EP137" s="87" t="s">
        <v>363</v>
      </c>
      <c r="EQ137" s="30"/>
      <c r="ER137" s="30"/>
      <c r="ES137" s="30"/>
      <c r="ET137" s="30"/>
      <c r="EU137" s="30"/>
      <c r="EV137" s="30"/>
      <c r="EW137" s="30"/>
      <c r="EX137" s="30"/>
      <c r="EY137" s="30"/>
      <c r="EZ137" s="30"/>
      <c r="FA137" s="30"/>
      <c r="FB137" s="30"/>
      <c r="FC137" s="30"/>
      <c r="FD137" s="30"/>
      <c r="FE137" s="30"/>
      <c r="FF137" s="30"/>
      <c r="FG137" s="30"/>
      <c r="FH137" s="30"/>
      <c r="FI137" s="30"/>
      <c r="FJ137" s="30"/>
      <c r="FK137" s="30"/>
      <c r="FL137" s="30"/>
      <c r="FM137" s="30"/>
      <c r="FN137" s="30"/>
      <c r="FO137" s="30"/>
      <c r="FP137" s="30"/>
      <c r="FQ137" s="30"/>
      <c r="FR137" s="30"/>
      <c r="FS137" s="30"/>
      <c r="FT137" s="30"/>
      <c r="FU137" s="30"/>
      <c r="FV137" s="30"/>
      <c r="FW137" s="30"/>
      <c r="FX137" s="30"/>
      <c r="FY137" s="30"/>
      <c r="FZ137" s="30"/>
      <c r="GA137" s="30"/>
      <c r="GB137" s="30"/>
      <c r="GC137" s="30"/>
      <c r="GD137" s="30"/>
      <c r="GE137" s="30"/>
      <c r="GF137" s="30"/>
      <c r="GG137" s="30"/>
      <c r="GH137" s="30"/>
      <c r="GI137" s="30"/>
      <c r="GJ137" s="30"/>
      <c r="GK137" s="30"/>
      <c r="GL137" s="30"/>
      <c r="GM137" s="30"/>
      <c r="GN137" s="30"/>
      <c r="GO137" s="30"/>
      <c r="GP137" s="30"/>
      <c r="GQ137" s="30"/>
      <c r="GR137" s="30"/>
      <c r="GS137" s="30"/>
      <c r="GT137" s="30"/>
      <c r="GU137" s="30"/>
      <c r="GV137" s="30"/>
      <c r="GW137" s="30"/>
      <c r="GX137" s="30"/>
      <c r="GY137" s="30"/>
      <c r="GZ137" s="30"/>
      <c r="HA137" s="30"/>
      <c r="HB137" s="30"/>
      <c r="HC137" s="30"/>
      <c r="HD137" s="30"/>
      <c r="HE137" s="30"/>
    </row>
    <row r="138">
      <c r="A138" s="114" t="s">
        <v>339</v>
      </c>
      <c r="B138" s="9">
        <v>2000.0</v>
      </c>
      <c r="C138" s="101">
        <v>0.2</v>
      </c>
      <c r="D138" s="30"/>
      <c r="E138" s="87" t="s">
        <v>279</v>
      </c>
      <c r="F138" s="30"/>
      <c r="G138" s="87" t="s">
        <v>279</v>
      </c>
      <c r="H138" s="30"/>
      <c r="I138" s="87" t="s">
        <v>279</v>
      </c>
      <c r="J138" s="30"/>
      <c r="K138" s="30"/>
      <c r="L138" s="87" t="s">
        <v>279</v>
      </c>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87" t="s">
        <v>279</v>
      </c>
      <c r="AJ138" s="87" t="s">
        <v>279</v>
      </c>
      <c r="AK138" s="30"/>
      <c r="AL138" s="30"/>
      <c r="AM138" s="30"/>
      <c r="AN138" s="30"/>
      <c r="AO138" s="30"/>
      <c r="AP138" s="30"/>
      <c r="AQ138" s="30"/>
      <c r="AR138" s="87" t="s">
        <v>279</v>
      </c>
      <c r="AS138" s="30"/>
      <c r="AT138" s="87" t="s">
        <v>279</v>
      </c>
      <c r="AU138" s="30"/>
      <c r="AV138" s="30"/>
      <c r="AW138" s="30"/>
      <c r="AX138" s="87" t="s">
        <v>279</v>
      </c>
      <c r="AY138" s="30"/>
      <c r="AZ138" s="30"/>
      <c r="BA138" s="87" t="s">
        <v>279</v>
      </c>
      <c r="BB138" s="30"/>
      <c r="BC138" s="87" t="s">
        <v>279</v>
      </c>
      <c r="BD138" s="30"/>
      <c r="BE138" s="30"/>
      <c r="BF138" s="30"/>
      <c r="BG138" s="87" t="s">
        <v>279</v>
      </c>
      <c r="BH138" s="30"/>
      <c r="BI138" s="30"/>
      <c r="BJ138" s="30"/>
      <c r="BK138" s="87" t="s">
        <v>279</v>
      </c>
      <c r="BL138" s="30"/>
      <c r="BM138" s="87" t="s">
        <v>279</v>
      </c>
      <c r="BN138" s="30"/>
      <c r="BO138" s="30"/>
      <c r="BP138" s="30"/>
      <c r="BQ138" s="87" t="s">
        <v>279</v>
      </c>
      <c r="BR138" s="30"/>
      <c r="BS138" s="30"/>
      <c r="BT138" s="30"/>
      <c r="BU138" s="30"/>
      <c r="BV138" s="87" t="s">
        <v>279</v>
      </c>
      <c r="BW138" s="87" t="s">
        <v>279</v>
      </c>
      <c r="BX138" s="30"/>
      <c r="BY138" s="30"/>
      <c r="BZ138" s="87" t="s">
        <v>279</v>
      </c>
      <c r="CA138" s="30"/>
      <c r="CB138" s="30"/>
      <c r="CC138" s="30"/>
      <c r="CD138" s="30"/>
      <c r="CE138" s="30"/>
      <c r="CF138" s="87" t="s">
        <v>279</v>
      </c>
      <c r="CG138" s="87" t="s">
        <v>279</v>
      </c>
      <c r="CH138" s="30"/>
      <c r="CI138" s="30"/>
      <c r="CJ138" s="30"/>
      <c r="CK138" s="30"/>
      <c r="CL138" s="30"/>
      <c r="CM138" s="87" t="s">
        <v>279</v>
      </c>
      <c r="CN138" s="30"/>
      <c r="CO138" s="30"/>
      <c r="CP138" s="30"/>
      <c r="CQ138" s="30"/>
      <c r="CR138" s="30"/>
      <c r="CS138" s="30"/>
      <c r="CT138" s="30"/>
      <c r="CU138" s="87" t="s">
        <v>279</v>
      </c>
      <c r="CV138" s="30"/>
      <c r="CW138" s="30"/>
      <c r="CX138" s="87" t="s">
        <v>279</v>
      </c>
      <c r="CY138" s="30"/>
      <c r="CZ138" s="30"/>
      <c r="DA138" s="30"/>
      <c r="DB138" s="30"/>
      <c r="DC138" s="30"/>
      <c r="DD138" s="30"/>
      <c r="DE138" s="30"/>
      <c r="DF138" s="30"/>
      <c r="DG138" s="87" t="s">
        <v>279</v>
      </c>
      <c r="DH138" s="30"/>
      <c r="DI138" s="30"/>
      <c r="DJ138" s="30"/>
      <c r="DK138" s="30"/>
      <c r="DL138" s="87" t="s">
        <v>279</v>
      </c>
      <c r="DM138" s="87" t="s">
        <v>279</v>
      </c>
      <c r="DN138" s="30"/>
      <c r="DO138" s="30"/>
      <c r="DP138" s="87" t="s">
        <v>279</v>
      </c>
      <c r="DQ138" s="30"/>
      <c r="DR138" s="30"/>
      <c r="DS138" s="30"/>
      <c r="DT138" s="30"/>
      <c r="DU138" s="30"/>
      <c r="DV138" s="30"/>
      <c r="DW138" s="30"/>
      <c r="DX138" s="87" t="s">
        <v>279</v>
      </c>
      <c r="DY138" s="87" t="s">
        <v>279</v>
      </c>
      <c r="DZ138" s="30"/>
      <c r="EA138" s="30"/>
      <c r="EB138" s="30"/>
      <c r="EC138" s="30"/>
      <c r="ED138" s="30"/>
      <c r="EE138" s="30"/>
      <c r="EF138" s="30"/>
      <c r="EG138" s="30"/>
      <c r="EH138" s="30"/>
      <c r="EI138" s="30"/>
      <c r="EJ138" s="30"/>
      <c r="EK138" s="30"/>
      <c r="EL138" s="30"/>
      <c r="EM138" s="30"/>
      <c r="EN138" s="30"/>
      <c r="EO138" s="30"/>
      <c r="EP138" s="30"/>
      <c r="EQ138" s="30"/>
      <c r="ER138" s="30"/>
      <c r="ES138" s="30"/>
      <c r="ET138" s="87" t="s">
        <v>279</v>
      </c>
      <c r="EU138" s="30"/>
      <c r="EV138" s="30"/>
      <c r="EW138" s="30"/>
      <c r="EX138" s="87" t="s">
        <v>279</v>
      </c>
      <c r="EY138" s="30"/>
      <c r="EZ138" s="30"/>
      <c r="FA138" s="87" t="s">
        <v>279</v>
      </c>
      <c r="FB138" s="30"/>
      <c r="FC138" s="30"/>
      <c r="FD138" s="30"/>
      <c r="FE138" s="30"/>
      <c r="FF138" s="87" t="s">
        <v>279</v>
      </c>
      <c r="FG138" s="30"/>
      <c r="FH138" s="30"/>
      <c r="FI138" s="30"/>
      <c r="FJ138" s="30"/>
      <c r="FK138" s="30"/>
      <c r="FL138" s="30"/>
      <c r="FM138" s="30"/>
      <c r="FN138" s="30"/>
      <c r="FO138" s="30"/>
      <c r="FP138" s="30"/>
      <c r="FQ138" s="30"/>
      <c r="FR138" s="87" t="s">
        <v>279</v>
      </c>
      <c r="FS138" s="30"/>
      <c r="FT138" s="30"/>
      <c r="FU138" s="30"/>
      <c r="FV138" s="30"/>
      <c r="FW138" s="30"/>
      <c r="FX138" s="30"/>
      <c r="FY138" s="30"/>
      <c r="FZ138" s="30"/>
      <c r="GA138" s="30"/>
      <c r="GB138" s="30"/>
      <c r="GC138" s="30"/>
      <c r="GD138" s="30"/>
      <c r="GE138" s="30"/>
      <c r="GF138" s="30"/>
      <c r="GG138" s="87" t="s">
        <v>279</v>
      </c>
      <c r="GH138" s="30"/>
      <c r="GI138" s="30"/>
      <c r="GJ138" s="87" t="s">
        <v>279</v>
      </c>
      <c r="GK138" s="87" t="s">
        <v>279</v>
      </c>
      <c r="GL138" s="30"/>
      <c r="GM138" s="30"/>
      <c r="GN138" s="30"/>
      <c r="GO138" s="87" t="s">
        <v>279</v>
      </c>
      <c r="GP138" s="30"/>
      <c r="GQ138" s="30"/>
      <c r="GR138" s="87" t="s">
        <v>279</v>
      </c>
      <c r="GS138" s="30"/>
      <c r="GT138" s="30"/>
      <c r="GU138" s="87" t="s">
        <v>279</v>
      </c>
      <c r="GV138" s="87"/>
      <c r="GW138" s="87"/>
      <c r="GX138" s="87"/>
      <c r="GY138" s="87"/>
      <c r="GZ138" s="87"/>
      <c r="HA138" s="87"/>
      <c r="HB138" s="87"/>
      <c r="HC138" s="87"/>
      <c r="HD138" s="87"/>
      <c r="HE138" s="87"/>
    </row>
    <row r="139">
      <c r="A139" s="9" t="s">
        <v>340</v>
      </c>
      <c r="B139" s="9">
        <v>0.0</v>
      </c>
      <c r="C139" s="101">
        <v>0.0</v>
      </c>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30"/>
      <c r="EO139" s="30"/>
      <c r="EP139" s="30"/>
      <c r="EQ139" s="30"/>
      <c r="ER139" s="30"/>
      <c r="ES139" s="30"/>
      <c r="ET139" s="30"/>
      <c r="EU139" s="30"/>
      <c r="EV139" s="30"/>
      <c r="EW139" s="30"/>
      <c r="EX139" s="30"/>
      <c r="EY139" s="30"/>
      <c r="EZ139" s="30"/>
      <c r="FA139" s="30"/>
      <c r="FB139" s="30"/>
      <c r="FC139" s="30"/>
      <c r="FD139" s="30"/>
      <c r="FE139" s="30"/>
      <c r="FF139" s="30"/>
      <c r="FG139" s="30"/>
      <c r="FH139" s="30"/>
      <c r="FI139" s="30"/>
      <c r="FJ139" s="30"/>
      <c r="FK139" s="30"/>
      <c r="FL139" s="30"/>
      <c r="FM139" s="30"/>
      <c r="FN139" s="30"/>
      <c r="FO139" s="30"/>
      <c r="FP139" s="30"/>
      <c r="FQ139" s="30"/>
      <c r="FR139" s="30"/>
      <c r="FS139" s="30"/>
      <c r="FT139" s="30"/>
      <c r="FU139" s="30"/>
      <c r="FV139" s="30"/>
      <c r="FW139" s="30"/>
      <c r="FX139" s="30"/>
      <c r="FY139" s="30"/>
      <c r="FZ139" s="30"/>
      <c r="GA139" s="30"/>
      <c r="GB139" s="30"/>
      <c r="GC139" s="30"/>
      <c r="GD139" s="30"/>
      <c r="GE139" s="30"/>
      <c r="GF139" s="30"/>
      <c r="GG139" s="30"/>
      <c r="GH139" s="30"/>
      <c r="GI139" s="30"/>
      <c r="GJ139" s="30"/>
      <c r="GK139" s="30"/>
      <c r="GL139" s="30"/>
      <c r="GM139" s="30"/>
      <c r="GN139" s="30"/>
      <c r="GO139" s="30"/>
      <c r="GP139" s="30"/>
      <c r="GQ139" s="30"/>
      <c r="GR139" s="30"/>
      <c r="GS139" s="30"/>
      <c r="GT139" s="30"/>
      <c r="GU139" s="30"/>
      <c r="GV139" s="30"/>
      <c r="GW139" s="30"/>
      <c r="GX139" s="30"/>
      <c r="GY139" s="30"/>
      <c r="GZ139" s="30"/>
      <c r="HA139" s="30"/>
      <c r="HB139" s="30"/>
      <c r="HC139" s="30"/>
      <c r="HD139" s="30"/>
      <c r="HE139" s="30"/>
    </row>
    <row r="140">
      <c r="A140" s="64" t="s">
        <v>364</v>
      </c>
      <c r="B140" s="9">
        <v>0.9</v>
      </c>
      <c r="C140" s="101">
        <v>0.06</v>
      </c>
      <c r="D140" s="30"/>
      <c r="E140" s="30"/>
      <c r="F140" s="30"/>
      <c r="G140" s="30"/>
      <c r="H140" s="87" t="s">
        <v>279</v>
      </c>
      <c r="I140" s="30"/>
      <c r="J140" s="30"/>
      <c r="K140" s="30"/>
      <c r="L140" s="30"/>
      <c r="M140" s="30"/>
      <c r="N140" s="30"/>
      <c r="O140" s="30"/>
      <c r="P140" s="30"/>
      <c r="Q140" s="30"/>
      <c r="R140" s="30"/>
      <c r="S140" s="30"/>
      <c r="T140" s="30"/>
      <c r="U140" s="30"/>
      <c r="V140" s="87" t="s">
        <v>279</v>
      </c>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87" t="s">
        <v>279</v>
      </c>
      <c r="BG140" s="30"/>
      <c r="BH140" s="87" t="s">
        <v>279</v>
      </c>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87" t="s">
        <v>279</v>
      </c>
      <c r="CK140" s="30"/>
      <c r="CL140" s="30"/>
      <c r="CM140" s="30"/>
      <c r="CN140" s="87" t="s">
        <v>279</v>
      </c>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87" t="s">
        <v>279</v>
      </c>
      <c r="DK140" s="30"/>
      <c r="DL140" s="30"/>
      <c r="DM140" s="30"/>
      <c r="DN140" s="30"/>
      <c r="DO140" s="30"/>
      <c r="DP140" s="30"/>
      <c r="DQ140" s="30"/>
      <c r="DR140" s="30"/>
      <c r="DS140" s="30"/>
      <c r="DT140" s="30"/>
      <c r="DU140" s="87" t="s">
        <v>279</v>
      </c>
      <c r="DV140" s="30"/>
      <c r="DW140" s="30"/>
      <c r="DX140" s="30"/>
      <c r="DY140" s="30"/>
      <c r="DZ140" s="30"/>
      <c r="EA140" s="87" t="s">
        <v>279</v>
      </c>
      <c r="EB140" s="30"/>
      <c r="EC140" s="30"/>
      <c r="ED140" s="30"/>
      <c r="EE140" s="30"/>
      <c r="EF140" s="30"/>
      <c r="EG140" s="30"/>
      <c r="EH140" s="30"/>
      <c r="EI140" s="30"/>
      <c r="EJ140" s="30"/>
      <c r="EK140" s="30"/>
      <c r="EL140" s="30"/>
      <c r="EM140" s="30"/>
      <c r="EN140" s="30"/>
      <c r="EO140" s="30"/>
      <c r="EP140" s="30"/>
      <c r="EQ140" s="30"/>
      <c r="ER140" s="30"/>
      <c r="ES140" s="30"/>
      <c r="ET140" s="30"/>
      <c r="EU140" s="30"/>
      <c r="EV140" s="30"/>
      <c r="EW140" s="30"/>
      <c r="EX140" s="30"/>
      <c r="EY140" s="30"/>
      <c r="EZ140" s="30"/>
      <c r="FA140" s="30"/>
      <c r="FB140" s="30"/>
      <c r="FC140" s="30"/>
      <c r="FD140" s="30"/>
      <c r="FE140" s="30"/>
      <c r="FF140" s="30"/>
      <c r="FG140" s="30"/>
      <c r="FH140" s="30"/>
      <c r="FI140" s="30"/>
      <c r="FJ140" s="30"/>
      <c r="FK140" s="30"/>
      <c r="FL140" s="30"/>
      <c r="FM140" s="30"/>
      <c r="FN140" s="30"/>
      <c r="FO140" s="30"/>
      <c r="FP140" s="30"/>
      <c r="FQ140" s="30"/>
      <c r="FR140" s="30"/>
      <c r="FS140" s="30"/>
      <c r="FT140" s="87" t="s">
        <v>279</v>
      </c>
      <c r="FU140" s="30"/>
      <c r="FV140" s="30"/>
      <c r="FW140" s="30"/>
      <c r="FX140" s="30"/>
      <c r="FY140" s="30"/>
      <c r="FZ140" s="30"/>
      <c r="GA140" s="87" t="s">
        <v>279</v>
      </c>
      <c r="GB140" s="30"/>
      <c r="GC140" s="30"/>
      <c r="GD140" s="30"/>
      <c r="GE140" s="30"/>
      <c r="GF140" s="87" t="s">
        <v>279</v>
      </c>
      <c r="GG140" s="30"/>
      <c r="GH140" s="30"/>
      <c r="GI140" s="30"/>
      <c r="GJ140" s="30"/>
      <c r="GK140" s="30"/>
      <c r="GL140" s="30"/>
      <c r="GM140" s="30"/>
      <c r="GN140" s="30"/>
      <c r="GO140" s="30"/>
      <c r="GP140" s="30"/>
      <c r="GQ140" s="30"/>
      <c r="GR140" s="30"/>
      <c r="GS140" s="30"/>
      <c r="GT140" s="30"/>
      <c r="GU140" s="30"/>
      <c r="GV140" s="30"/>
      <c r="GW140" s="30"/>
      <c r="GX140" s="30"/>
      <c r="GY140" s="30"/>
      <c r="GZ140" s="30"/>
      <c r="HA140" s="30"/>
      <c r="HB140" s="30"/>
      <c r="HC140" s="30"/>
      <c r="HD140" s="30"/>
      <c r="HE140" s="30"/>
    </row>
    <row r="141">
      <c r="A141" s="64" t="s">
        <v>302</v>
      </c>
      <c r="B141" s="9">
        <v>0.75</v>
      </c>
      <c r="C141" s="101">
        <v>0.05</v>
      </c>
      <c r="D141" s="30"/>
      <c r="E141" s="30"/>
      <c r="F141" s="30"/>
      <c r="G141" s="30"/>
      <c r="H141" s="30"/>
      <c r="I141" s="30"/>
      <c r="J141" s="30"/>
      <c r="K141" s="30"/>
      <c r="L141" s="30"/>
      <c r="M141" s="30"/>
      <c r="N141" s="30"/>
      <c r="O141" s="30"/>
      <c r="P141" s="30"/>
      <c r="Q141" s="30"/>
      <c r="R141" s="30"/>
      <c r="S141" s="30"/>
      <c r="T141" s="87" t="s">
        <v>279</v>
      </c>
      <c r="U141" s="30"/>
      <c r="V141" s="30"/>
      <c r="W141" s="87" t="s">
        <v>279</v>
      </c>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87" t="s">
        <v>279</v>
      </c>
      <c r="BZ141" s="30"/>
      <c r="CA141" s="87" t="s">
        <v>279</v>
      </c>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87" t="s">
        <v>279</v>
      </c>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87" t="s">
        <v>279</v>
      </c>
      <c r="EH141" s="30"/>
      <c r="EI141" s="30"/>
      <c r="EJ141" s="87" t="s">
        <v>279</v>
      </c>
      <c r="EK141" s="30"/>
      <c r="EL141" s="30"/>
      <c r="EM141" s="30"/>
      <c r="EN141" s="30"/>
      <c r="EO141" s="30"/>
      <c r="EP141" s="30"/>
      <c r="EQ141" s="30"/>
      <c r="ER141" s="87" t="s">
        <v>279</v>
      </c>
      <c r="ES141" s="30"/>
      <c r="ET141" s="30"/>
      <c r="EU141" s="30"/>
      <c r="EV141" s="30"/>
      <c r="EW141" s="30"/>
      <c r="EX141" s="30"/>
      <c r="EY141" s="30"/>
      <c r="EZ141" s="30"/>
      <c r="FA141" s="30"/>
      <c r="FB141" s="30"/>
      <c r="FC141" s="30"/>
      <c r="FD141" s="30"/>
      <c r="FE141" s="30"/>
      <c r="FF141" s="30"/>
      <c r="FG141" s="87" t="s">
        <v>279</v>
      </c>
      <c r="FH141" s="30"/>
      <c r="FI141" s="30"/>
      <c r="FJ141" s="30"/>
      <c r="FK141" s="30"/>
      <c r="FL141" s="30"/>
      <c r="FM141" s="30"/>
      <c r="FN141" s="30"/>
      <c r="FO141" s="30"/>
      <c r="FP141" s="30"/>
      <c r="FQ141" s="87" t="s">
        <v>279</v>
      </c>
      <c r="FR141" s="30"/>
      <c r="FS141" s="30"/>
      <c r="FT141" s="30"/>
      <c r="FU141" s="30"/>
      <c r="FV141" s="30"/>
      <c r="FW141" s="30"/>
      <c r="FX141" s="30"/>
      <c r="FY141" s="30"/>
      <c r="FZ141" s="30"/>
      <c r="GA141" s="30"/>
      <c r="GB141" s="30"/>
      <c r="GC141" s="30"/>
      <c r="GD141" s="30"/>
      <c r="GE141" s="30"/>
      <c r="GF141" s="30"/>
      <c r="GG141" s="30"/>
      <c r="GH141" s="30"/>
      <c r="GI141" s="30"/>
      <c r="GJ141" s="30"/>
      <c r="GK141" s="30"/>
      <c r="GL141" s="30"/>
      <c r="GM141" s="30"/>
      <c r="GN141" s="30"/>
      <c r="GO141" s="30"/>
      <c r="GP141" s="30"/>
      <c r="GQ141" s="30"/>
      <c r="GR141" s="30"/>
      <c r="GS141" s="30"/>
      <c r="GT141" s="30"/>
      <c r="GU141" s="30"/>
      <c r="GV141" s="30"/>
      <c r="GW141" s="30"/>
      <c r="GX141" s="30"/>
      <c r="GY141" s="30"/>
      <c r="GZ141" s="30"/>
      <c r="HA141" s="30"/>
      <c r="HB141" s="30"/>
      <c r="HC141" s="30"/>
      <c r="HD141" s="30"/>
      <c r="HE141" s="30"/>
    </row>
    <row r="142">
      <c r="A142" s="64" t="s">
        <v>303</v>
      </c>
      <c r="B142" s="9">
        <v>0.375</v>
      </c>
      <c r="C142" s="101">
        <v>0.025</v>
      </c>
      <c r="D142" s="87" t="s">
        <v>279</v>
      </c>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87" t="s">
        <v>279</v>
      </c>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87" t="s">
        <v>279</v>
      </c>
      <c r="EF142" s="30"/>
      <c r="EG142" s="30"/>
      <c r="EH142" s="30"/>
      <c r="EI142" s="30"/>
      <c r="EJ142" s="30"/>
      <c r="EK142" s="30"/>
      <c r="EL142" s="30"/>
      <c r="EM142" s="30"/>
      <c r="EN142" s="30"/>
      <c r="EO142" s="30"/>
      <c r="EP142" s="30"/>
      <c r="EQ142" s="30"/>
      <c r="ER142" s="30"/>
      <c r="ES142" s="30"/>
      <c r="ET142" s="30"/>
      <c r="EU142" s="30"/>
      <c r="EV142" s="30"/>
      <c r="EW142" s="30"/>
      <c r="EX142" s="30"/>
      <c r="EY142" s="30"/>
      <c r="EZ142" s="30"/>
      <c r="FA142" s="30"/>
      <c r="FB142" s="30"/>
      <c r="FC142" s="30"/>
      <c r="FD142" s="30"/>
      <c r="FE142" s="30"/>
      <c r="FF142" s="30"/>
      <c r="FG142" s="30"/>
      <c r="FH142" s="30"/>
      <c r="FI142" s="30"/>
      <c r="FJ142" s="87" t="s">
        <v>279</v>
      </c>
      <c r="FK142" s="30"/>
      <c r="FL142" s="30"/>
      <c r="FM142" s="30"/>
      <c r="FN142" s="30"/>
      <c r="FO142" s="30"/>
      <c r="FP142" s="30"/>
      <c r="FQ142" s="30"/>
      <c r="FR142" s="30"/>
      <c r="FS142" s="30"/>
      <c r="FT142" s="30"/>
      <c r="FU142" s="30"/>
      <c r="FV142" s="30"/>
      <c r="FW142" s="30"/>
      <c r="FX142" s="30"/>
      <c r="FY142" s="30"/>
      <c r="FZ142" s="30"/>
      <c r="GA142" s="30"/>
      <c r="GB142" s="30"/>
      <c r="GC142" s="30"/>
      <c r="GD142" s="30"/>
      <c r="GE142" s="30"/>
      <c r="GF142" s="30"/>
      <c r="GG142" s="30"/>
      <c r="GH142" s="30"/>
      <c r="GI142" s="30"/>
      <c r="GJ142" s="30"/>
      <c r="GK142" s="30"/>
      <c r="GL142" s="30"/>
      <c r="GM142" s="87" t="s">
        <v>279</v>
      </c>
      <c r="GN142" s="30"/>
      <c r="GO142" s="30"/>
      <c r="GP142" s="30"/>
      <c r="GQ142" s="30"/>
      <c r="GR142" s="30"/>
      <c r="GS142" s="30"/>
      <c r="GT142" s="30"/>
      <c r="GU142" s="30"/>
      <c r="GV142" s="30"/>
      <c r="GW142" s="30"/>
      <c r="GX142" s="30"/>
      <c r="GY142" s="30"/>
      <c r="GZ142" s="30"/>
      <c r="HA142" s="30"/>
      <c r="HB142" s="30"/>
      <c r="HC142" s="30"/>
      <c r="HD142" s="30"/>
      <c r="HE142" s="30"/>
    </row>
    <row r="143">
      <c r="A143" s="64" t="s">
        <v>304</v>
      </c>
      <c r="B143" s="9">
        <v>0.3</v>
      </c>
      <c r="C143" s="101">
        <v>0.02</v>
      </c>
      <c r="D143" s="30"/>
      <c r="E143" s="30"/>
      <c r="F143" s="30"/>
      <c r="G143" s="30"/>
      <c r="H143" s="30"/>
      <c r="I143" s="30"/>
      <c r="J143" s="30"/>
      <c r="K143" s="87" t="s">
        <v>279</v>
      </c>
      <c r="L143" s="30"/>
      <c r="M143" s="30"/>
      <c r="N143" s="30"/>
      <c r="O143" s="30"/>
      <c r="P143" s="30"/>
      <c r="Q143" s="30"/>
      <c r="R143" s="30"/>
      <c r="S143" s="30"/>
      <c r="T143" s="30"/>
      <c r="U143" s="30"/>
      <c r="V143" s="30"/>
      <c r="W143" s="30"/>
      <c r="X143" s="87" t="s">
        <v>279</v>
      </c>
      <c r="Y143" s="30"/>
      <c r="Z143" s="30"/>
      <c r="AA143" s="30"/>
      <c r="AB143" s="30"/>
      <c r="AC143" s="30"/>
      <c r="AD143" s="30"/>
      <c r="AE143" s="30"/>
      <c r="AF143" s="30"/>
      <c r="AG143" s="30"/>
      <c r="AH143" s="30"/>
      <c r="AI143" s="30"/>
      <c r="AJ143" s="30"/>
      <c r="AK143" s="87" t="s">
        <v>279</v>
      </c>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87" t="s">
        <v>279</v>
      </c>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30"/>
      <c r="EO143" s="30"/>
      <c r="EP143" s="30"/>
      <c r="EQ143" s="30"/>
      <c r="ER143" s="30"/>
      <c r="ES143" s="30"/>
      <c r="ET143" s="30"/>
      <c r="EU143" s="30"/>
      <c r="EV143" s="30"/>
      <c r="EW143" s="30"/>
      <c r="EX143" s="30"/>
      <c r="EY143" s="30"/>
      <c r="EZ143" s="30"/>
      <c r="FA143" s="30"/>
      <c r="FB143" s="30"/>
      <c r="FC143" s="30"/>
      <c r="FD143" s="30"/>
      <c r="FE143" s="30"/>
      <c r="FF143" s="30"/>
      <c r="FG143" s="30"/>
      <c r="FH143" s="30"/>
      <c r="FI143" s="30"/>
      <c r="FJ143" s="30"/>
      <c r="FK143" s="30"/>
      <c r="FL143" s="30"/>
      <c r="FM143" s="30"/>
      <c r="FN143" s="30"/>
      <c r="FO143" s="30"/>
      <c r="FP143" s="30"/>
      <c r="FQ143" s="30"/>
      <c r="FR143" s="30"/>
      <c r="FS143" s="30"/>
      <c r="FT143" s="30"/>
      <c r="FU143" s="30"/>
      <c r="FV143" s="30"/>
      <c r="FW143" s="30"/>
      <c r="FX143" s="30"/>
      <c r="FY143" s="30"/>
      <c r="FZ143" s="30"/>
      <c r="GA143" s="30"/>
      <c r="GB143" s="30"/>
      <c r="GC143" s="30"/>
      <c r="GD143" s="30"/>
      <c r="GE143" s="30"/>
      <c r="GF143" s="30"/>
      <c r="GG143" s="30"/>
      <c r="GH143" s="30"/>
      <c r="GI143" s="30"/>
      <c r="GJ143" s="30"/>
      <c r="GK143" s="30"/>
      <c r="GL143" s="30"/>
      <c r="GM143" s="30"/>
      <c r="GN143" s="30"/>
      <c r="GO143" s="30"/>
      <c r="GP143" s="30"/>
      <c r="GQ143" s="30"/>
      <c r="GR143" s="30"/>
      <c r="GS143" s="30"/>
      <c r="GT143" s="30"/>
      <c r="GU143" s="30"/>
      <c r="GV143" s="30"/>
      <c r="GW143" s="30"/>
      <c r="GX143" s="30"/>
      <c r="GY143" s="30"/>
      <c r="GZ143" s="30"/>
      <c r="HA143" s="30"/>
      <c r="HB143" s="30"/>
      <c r="HC143" s="30"/>
      <c r="HD143" s="30"/>
      <c r="HE143" s="30"/>
    </row>
    <row r="144">
      <c r="A144" s="64" t="s">
        <v>305</v>
      </c>
      <c r="B144" s="9">
        <v>0.45</v>
      </c>
      <c r="C144" s="101">
        <v>0.03</v>
      </c>
      <c r="D144" s="30"/>
      <c r="E144" s="30"/>
      <c r="F144" s="30"/>
      <c r="G144" s="30"/>
      <c r="H144" s="30"/>
      <c r="I144" s="30"/>
      <c r="J144" s="30"/>
      <c r="K144" s="30"/>
      <c r="L144" s="30"/>
      <c r="M144" s="30"/>
      <c r="N144" s="30"/>
      <c r="O144" s="30"/>
      <c r="P144" s="30"/>
      <c r="Q144" s="87" t="s">
        <v>279</v>
      </c>
      <c r="R144" s="30"/>
      <c r="S144" s="30"/>
      <c r="T144" s="30"/>
      <c r="U144" s="30"/>
      <c r="V144" s="30"/>
      <c r="W144" s="30"/>
      <c r="X144" s="30"/>
      <c r="Y144" s="30"/>
      <c r="Z144" s="30"/>
      <c r="AA144" s="30"/>
      <c r="AB144" s="30"/>
      <c r="AC144" s="30"/>
      <c r="AD144" s="30"/>
      <c r="AE144" s="30"/>
      <c r="AF144" s="30"/>
      <c r="AG144" s="30"/>
      <c r="AH144" s="87" t="s">
        <v>279</v>
      </c>
      <c r="AI144" s="30"/>
      <c r="AJ144" s="30"/>
      <c r="AK144" s="30"/>
      <c r="AL144" s="30"/>
      <c r="AM144" s="87" t="s">
        <v>279</v>
      </c>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87" t="s">
        <v>279</v>
      </c>
      <c r="DS144" s="30"/>
      <c r="DT144" s="30"/>
      <c r="DU144" s="30"/>
      <c r="DV144" s="30"/>
      <c r="DW144" s="30"/>
      <c r="DX144" s="30"/>
      <c r="DY144" s="30"/>
      <c r="DZ144" s="30"/>
      <c r="EA144" s="30"/>
      <c r="EB144" s="30"/>
      <c r="EC144" s="30"/>
      <c r="ED144" s="30"/>
      <c r="EE144" s="30"/>
      <c r="EF144" s="30"/>
      <c r="EG144" s="30"/>
      <c r="EH144" s="30"/>
      <c r="EI144" s="30"/>
      <c r="EJ144" s="30"/>
      <c r="EK144" s="87" t="s">
        <v>279</v>
      </c>
      <c r="EL144" s="30"/>
      <c r="EM144" s="30"/>
      <c r="EN144" s="30"/>
      <c r="EO144" s="30"/>
      <c r="EP144" s="30"/>
      <c r="EQ144" s="30"/>
      <c r="ER144" s="30"/>
      <c r="ES144" s="30"/>
      <c r="ET144" s="30"/>
      <c r="EU144" s="30"/>
      <c r="EV144" s="30"/>
      <c r="EW144" s="30"/>
      <c r="EX144" s="30"/>
      <c r="EY144" s="30"/>
      <c r="EZ144" s="30"/>
      <c r="FA144" s="30"/>
      <c r="FB144" s="30"/>
      <c r="FC144" s="87" t="s">
        <v>279</v>
      </c>
      <c r="FD144" s="30"/>
      <c r="FE144" s="30"/>
      <c r="FF144" s="30"/>
      <c r="FG144" s="30"/>
      <c r="FH144" s="30"/>
      <c r="FI144" s="30"/>
      <c r="FJ144" s="30"/>
      <c r="FK144" s="30"/>
      <c r="FL144" s="30"/>
      <c r="FM144" s="30"/>
      <c r="FN144" s="30"/>
      <c r="FO144" s="30"/>
      <c r="FP144" s="30"/>
      <c r="FQ144" s="30"/>
      <c r="FR144" s="30"/>
      <c r="FS144" s="30"/>
      <c r="FT144" s="30"/>
      <c r="FU144" s="30"/>
      <c r="FV144" s="30"/>
      <c r="FW144" s="30"/>
      <c r="FX144" s="30"/>
      <c r="FY144" s="30"/>
      <c r="FZ144" s="30"/>
      <c r="GA144" s="30"/>
      <c r="GB144" s="30"/>
      <c r="GC144" s="30"/>
      <c r="GD144" s="30"/>
      <c r="GE144" s="30"/>
      <c r="GF144" s="30"/>
      <c r="GG144" s="30"/>
      <c r="GH144" s="30"/>
      <c r="GI144" s="30"/>
      <c r="GJ144" s="30"/>
      <c r="GK144" s="30"/>
      <c r="GL144" s="30"/>
      <c r="GM144" s="30"/>
      <c r="GN144" s="30"/>
      <c r="GO144" s="30"/>
      <c r="GP144" s="30"/>
      <c r="GQ144" s="30"/>
      <c r="GR144" s="30"/>
      <c r="GS144" s="30"/>
      <c r="GT144" s="30"/>
      <c r="GU144" s="30"/>
      <c r="GV144" s="30"/>
      <c r="GW144" s="30"/>
      <c r="GX144" s="30"/>
      <c r="GY144" s="30"/>
      <c r="GZ144" s="30"/>
      <c r="HA144" s="30"/>
      <c r="HB144" s="30"/>
      <c r="HC144" s="30"/>
      <c r="HD144" s="30"/>
      <c r="HE144" s="30"/>
    </row>
    <row r="145">
      <c r="A145" s="64" t="s">
        <v>306</v>
      </c>
      <c r="B145" s="9">
        <v>0.45</v>
      </c>
      <c r="C145" s="101">
        <v>0.03</v>
      </c>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87" t="s">
        <v>279</v>
      </c>
      <c r="AE145" s="30"/>
      <c r="AF145" s="30"/>
      <c r="AG145" s="30"/>
      <c r="AH145" s="30"/>
      <c r="AI145" s="30"/>
      <c r="AJ145" s="30"/>
      <c r="AK145" s="30"/>
      <c r="AL145" s="30"/>
      <c r="AM145" s="30"/>
      <c r="AN145" s="87" t="s">
        <v>279</v>
      </c>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87" t="s">
        <v>279</v>
      </c>
      <c r="DC145" s="30"/>
      <c r="DD145" s="87" t="s">
        <v>279</v>
      </c>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30"/>
      <c r="EO145" s="30"/>
      <c r="EP145" s="30"/>
      <c r="EQ145" s="30"/>
      <c r="ER145" s="30"/>
      <c r="ES145" s="30"/>
      <c r="ET145" s="30"/>
      <c r="EU145" s="30"/>
      <c r="EV145" s="30"/>
      <c r="EW145" s="30"/>
      <c r="EX145" s="30"/>
      <c r="EY145" s="30"/>
      <c r="EZ145" s="30"/>
      <c r="FA145" s="30"/>
      <c r="FB145" s="87" t="s">
        <v>279</v>
      </c>
      <c r="FC145" s="30"/>
      <c r="FD145" s="30"/>
      <c r="FE145" s="30"/>
      <c r="FF145" s="30"/>
      <c r="FG145" s="30"/>
      <c r="FH145" s="30"/>
      <c r="FI145" s="30"/>
      <c r="FJ145" s="30"/>
      <c r="FK145" s="30"/>
      <c r="FL145" s="30"/>
      <c r="FM145" s="30"/>
      <c r="FN145" s="30"/>
      <c r="FO145" s="87" t="s">
        <v>279</v>
      </c>
      <c r="FP145" s="30"/>
      <c r="FQ145" s="30"/>
      <c r="FR145" s="30"/>
      <c r="FS145" s="30"/>
      <c r="FT145" s="30"/>
      <c r="FU145" s="30"/>
      <c r="FV145" s="30"/>
      <c r="FW145" s="30"/>
      <c r="FX145" s="30"/>
      <c r="FY145" s="30"/>
      <c r="FZ145" s="30"/>
      <c r="GA145" s="30"/>
      <c r="GB145" s="30"/>
      <c r="GC145" s="30"/>
      <c r="GD145" s="30"/>
      <c r="GE145" s="30"/>
      <c r="GF145" s="30"/>
      <c r="GG145" s="30"/>
      <c r="GH145" s="30"/>
      <c r="GI145" s="30"/>
      <c r="GJ145" s="30"/>
      <c r="GK145" s="30"/>
      <c r="GL145" s="30"/>
      <c r="GM145" s="30"/>
      <c r="GN145" s="30"/>
      <c r="GO145" s="30"/>
      <c r="GP145" s="30"/>
      <c r="GQ145" s="30"/>
      <c r="GR145" s="30"/>
      <c r="GS145" s="30"/>
      <c r="GT145" s="30"/>
      <c r="GU145" s="30"/>
      <c r="GV145" s="30"/>
      <c r="GW145" s="30"/>
      <c r="GX145" s="30"/>
      <c r="GY145" s="30"/>
      <c r="GZ145" s="30"/>
      <c r="HA145" s="30"/>
      <c r="HB145" s="30"/>
      <c r="HC145" s="30"/>
      <c r="HD145" s="30"/>
      <c r="HE145" s="30"/>
    </row>
    <row r="146">
      <c r="A146" s="64" t="s">
        <v>307</v>
      </c>
      <c r="B146" s="9">
        <v>0.6</v>
      </c>
      <c r="C146" s="101">
        <v>0.04</v>
      </c>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87" t="s">
        <v>279</v>
      </c>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87" t="s">
        <v>279</v>
      </c>
      <c r="CE146" s="30"/>
      <c r="CF146" s="30"/>
      <c r="CG146" s="30"/>
      <c r="CH146" s="30"/>
      <c r="CI146" s="87" t="s">
        <v>279</v>
      </c>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87" t="s">
        <v>279</v>
      </c>
      <c r="DI146" s="30"/>
      <c r="DJ146" s="30"/>
      <c r="DK146" s="30"/>
      <c r="DL146" s="30"/>
      <c r="DM146" s="30"/>
      <c r="DN146" s="30"/>
      <c r="DO146" s="30"/>
      <c r="DP146" s="30"/>
      <c r="DQ146" s="30"/>
      <c r="DR146" s="30"/>
      <c r="DS146" s="30"/>
      <c r="DT146" s="30"/>
      <c r="DU146" s="30"/>
      <c r="DV146" s="30"/>
      <c r="DW146" s="87" t="s">
        <v>279</v>
      </c>
      <c r="DX146" s="30"/>
      <c r="DY146" s="30"/>
      <c r="DZ146" s="30"/>
      <c r="EA146" s="30"/>
      <c r="EB146" s="30"/>
      <c r="EC146" s="30"/>
      <c r="ED146" s="30"/>
      <c r="EE146" s="30"/>
      <c r="EF146" s="30"/>
      <c r="EG146" s="30"/>
      <c r="EH146" s="87" t="s">
        <v>279</v>
      </c>
      <c r="EI146" s="30"/>
      <c r="EJ146" s="30"/>
      <c r="EK146" s="30"/>
      <c r="EL146" s="30"/>
      <c r="EM146" s="30"/>
      <c r="EN146" s="30"/>
      <c r="EO146" s="30"/>
      <c r="EP146" s="30"/>
      <c r="EQ146" s="30"/>
      <c r="ER146" s="30"/>
      <c r="ES146" s="87" t="s">
        <v>279</v>
      </c>
      <c r="ET146" s="30"/>
      <c r="EU146" s="30"/>
      <c r="EV146" s="30"/>
      <c r="EW146" s="30"/>
      <c r="EX146" s="30"/>
      <c r="EY146" s="30"/>
      <c r="EZ146" s="30"/>
      <c r="FA146" s="30"/>
      <c r="FB146" s="30"/>
      <c r="FC146" s="30"/>
      <c r="FD146" s="30"/>
      <c r="FE146" s="30"/>
      <c r="FF146" s="30"/>
      <c r="FG146" s="30"/>
      <c r="FH146" s="30"/>
      <c r="FI146" s="30"/>
      <c r="FJ146" s="30"/>
      <c r="FK146" s="30"/>
      <c r="FL146" s="30"/>
      <c r="FM146" s="30"/>
      <c r="FN146" s="30"/>
      <c r="FO146" s="30"/>
      <c r="FP146" s="30"/>
      <c r="FQ146" s="30"/>
      <c r="FR146" s="30"/>
      <c r="FS146" s="30"/>
      <c r="FT146" s="30"/>
      <c r="FU146" s="30"/>
      <c r="FV146" s="87" t="s">
        <v>279</v>
      </c>
      <c r="FW146" s="30"/>
      <c r="FX146" s="30"/>
      <c r="FY146" s="30"/>
      <c r="FZ146" s="30"/>
      <c r="GA146" s="30"/>
      <c r="GB146" s="30"/>
      <c r="GC146" s="30"/>
      <c r="GD146" s="30"/>
      <c r="GE146" s="30"/>
      <c r="GF146" s="30"/>
      <c r="GG146" s="30"/>
      <c r="GH146" s="30"/>
      <c r="GI146" s="30"/>
      <c r="GJ146" s="30"/>
      <c r="GK146" s="30"/>
      <c r="GL146" s="30"/>
      <c r="GM146" s="30"/>
      <c r="GN146" s="30"/>
      <c r="GO146" s="30"/>
      <c r="GP146" s="30"/>
      <c r="GQ146" s="30"/>
      <c r="GR146" s="30"/>
      <c r="GS146" s="30"/>
      <c r="GT146" s="30"/>
      <c r="GU146" s="30"/>
      <c r="GV146" s="30"/>
      <c r="GW146" s="30"/>
      <c r="GX146" s="30"/>
      <c r="GY146" s="30"/>
      <c r="GZ146" s="30"/>
      <c r="HA146" s="30"/>
      <c r="HB146" s="30"/>
      <c r="HC146" s="30"/>
      <c r="HD146" s="30"/>
      <c r="HE146" s="30"/>
    </row>
    <row r="147">
      <c r="A147" s="64" t="s">
        <v>308</v>
      </c>
      <c r="B147" s="9">
        <v>0.525</v>
      </c>
      <c r="C147" s="101">
        <v>0.035</v>
      </c>
      <c r="D147" s="30"/>
      <c r="E147" s="30"/>
      <c r="F147" s="30"/>
      <c r="G147" s="30"/>
      <c r="H147" s="30"/>
      <c r="I147" s="30"/>
      <c r="J147" s="30"/>
      <c r="K147" s="30"/>
      <c r="L147" s="30"/>
      <c r="M147" s="87" t="s">
        <v>279</v>
      </c>
      <c r="N147" s="30"/>
      <c r="O147" s="30"/>
      <c r="P147" s="30"/>
      <c r="Q147" s="30"/>
      <c r="R147" s="30"/>
      <c r="S147" s="87" t="s">
        <v>279</v>
      </c>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87" t="s">
        <v>279</v>
      </c>
      <c r="AZ147" s="30"/>
      <c r="BA147" s="30"/>
      <c r="BB147" s="30"/>
      <c r="BC147" s="30"/>
      <c r="BD147" s="30"/>
      <c r="BE147" s="30"/>
      <c r="BF147" s="30"/>
      <c r="BG147" s="30"/>
      <c r="BH147" s="30"/>
      <c r="BI147" s="30"/>
      <c r="BJ147" s="30"/>
      <c r="BK147" s="30"/>
      <c r="BL147" s="30"/>
      <c r="BM147" s="30"/>
      <c r="BN147" s="30"/>
      <c r="BO147" s="30"/>
      <c r="BP147" s="30"/>
      <c r="BQ147" s="30"/>
      <c r="BR147" s="30"/>
      <c r="BS147" s="30"/>
      <c r="BT147" s="87" t="s">
        <v>279</v>
      </c>
      <c r="BU147" s="30"/>
      <c r="BV147" s="30"/>
      <c r="BW147" s="30"/>
      <c r="BX147" s="30"/>
      <c r="BY147" s="30"/>
      <c r="BZ147" s="30"/>
      <c r="CA147" s="30"/>
      <c r="CB147" s="30"/>
      <c r="CC147" s="30"/>
      <c r="CD147" s="30"/>
      <c r="CE147" s="30"/>
      <c r="CF147" s="30"/>
      <c r="CG147" s="30"/>
      <c r="CH147" s="87" t="s">
        <v>279</v>
      </c>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30"/>
      <c r="EO147" s="30"/>
      <c r="EP147" s="30"/>
      <c r="EQ147" s="30"/>
      <c r="ER147" s="30"/>
      <c r="ES147" s="30"/>
      <c r="ET147" s="30"/>
      <c r="EU147" s="30"/>
      <c r="EV147" s="30"/>
      <c r="EW147" s="30"/>
      <c r="EX147" s="30"/>
      <c r="EY147" s="30"/>
      <c r="EZ147" s="30"/>
      <c r="FA147" s="30"/>
      <c r="FB147" s="30"/>
      <c r="FC147" s="30"/>
      <c r="FD147" s="30"/>
      <c r="FE147" s="30"/>
      <c r="FF147" s="30"/>
      <c r="FG147" s="30"/>
      <c r="FH147" s="30"/>
      <c r="FI147" s="30"/>
      <c r="FJ147" s="30"/>
      <c r="FK147" s="30"/>
      <c r="FL147" s="30"/>
      <c r="FM147" s="30"/>
      <c r="FN147" s="30"/>
      <c r="FO147" s="30"/>
      <c r="FP147" s="30"/>
      <c r="FQ147" s="30"/>
      <c r="FR147" s="30"/>
      <c r="FS147" s="30"/>
      <c r="FT147" s="30"/>
      <c r="FU147" s="30"/>
      <c r="FV147" s="30"/>
      <c r="FW147" s="30"/>
      <c r="FX147" s="30"/>
      <c r="FY147" s="30"/>
      <c r="FZ147" s="30"/>
      <c r="GA147" s="30"/>
      <c r="GB147" s="87" t="s">
        <v>279</v>
      </c>
      <c r="GC147" s="30"/>
      <c r="GD147" s="30"/>
      <c r="GE147" s="30"/>
      <c r="GF147" s="30"/>
      <c r="GG147" s="30"/>
      <c r="GH147" s="30"/>
      <c r="GI147" s="87" t="s">
        <v>279</v>
      </c>
      <c r="GJ147" s="30"/>
      <c r="GK147" s="30"/>
      <c r="GL147" s="30"/>
      <c r="GM147" s="30"/>
      <c r="GN147" s="30"/>
      <c r="GO147" s="30"/>
      <c r="GP147" s="30"/>
      <c r="GQ147" s="30"/>
      <c r="GR147" s="30"/>
      <c r="GS147" s="30"/>
      <c r="GT147" s="30"/>
      <c r="GU147" s="30"/>
      <c r="GV147" s="30"/>
      <c r="GW147" s="30"/>
      <c r="GX147" s="30"/>
      <c r="GY147" s="30"/>
      <c r="GZ147" s="30"/>
      <c r="HA147" s="30"/>
      <c r="HB147" s="30"/>
      <c r="HC147" s="30"/>
      <c r="HD147" s="30"/>
      <c r="HE147" s="30"/>
    </row>
    <row r="148">
      <c r="A148" s="64" t="s">
        <v>309</v>
      </c>
      <c r="B148" s="9">
        <v>0.525</v>
      </c>
      <c r="C148" s="101">
        <v>0.035</v>
      </c>
      <c r="D148" s="30"/>
      <c r="E148" s="30"/>
      <c r="F148" s="30"/>
      <c r="G148" s="30"/>
      <c r="H148" s="30"/>
      <c r="I148" s="30"/>
      <c r="J148" s="30"/>
      <c r="K148" s="30"/>
      <c r="L148" s="30"/>
      <c r="M148" s="30"/>
      <c r="N148" s="30"/>
      <c r="O148" s="30"/>
      <c r="P148" s="30"/>
      <c r="Q148" s="30"/>
      <c r="R148" s="87" t="s">
        <v>279</v>
      </c>
      <c r="S148" s="30"/>
      <c r="T148" s="30"/>
      <c r="U148" s="30"/>
      <c r="V148" s="30"/>
      <c r="W148" s="30"/>
      <c r="X148" s="30"/>
      <c r="Y148" s="30"/>
      <c r="Z148" s="30"/>
      <c r="AA148" s="30"/>
      <c r="AB148" s="30"/>
      <c r="AC148" s="30"/>
      <c r="AD148" s="30"/>
      <c r="AE148" s="30"/>
      <c r="AF148" s="87" t="s">
        <v>279</v>
      </c>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87" t="s">
        <v>279</v>
      </c>
      <c r="CL148" s="30"/>
      <c r="CM148" s="30"/>
      <c r="CN148" s="30"/>
      <c r="CO148" s="30"/>
      <c r="CP148" s="30"/>
      <c r="CQ148" s="30"/>
      <c r="CR148" s="30"/>
      <c r="CS148" s="30"/>
      <c r="CT148" s="30"/>
      <c r="CU148" s="30"/>
      <c r="CV148" s="30"/>
      <c r="CW148" s="30"/>
      <c r="CX148" s="30"/>
      <c r="CY148" s="30"/>
      <c r="CZ148" s="30"/>
      <c r="DA148" s="30"/>
      <c r="DB148" s="30"/>
      <c r="DC148" s="30"/>
      <c r="DD148" s="30"/>
      <c r="DE148" s="87" t="s">
        <v>279</v>
      </c>
      <c r="DF148" s="30"/>
      <c r="DG148" s="30"/>
      <c r="DH148" s="30"/>
      <c r="DI148" s="30"/>
      <c r="DJ148" s="30"/>
      <c r="DK148" s="30"/>
      <c r="DL148" s="30"/>
      <c r="DM148" s="30"/>
      <c r="DN148" s="30"/>
      <c r="DO148" s="30"/>
      <c r="DP148" s="30"/>
      <c r="DQ148" s="30"/>
      <c r="DR148" s="30"/>
      <c r="DS148" s="30"/>
      <c r="DT148" s="87" t="s">
        <v>279</v>
      </c>
      <c r="DU148" s="30"/>
      <c r="DV148" s="30"/>
      <c r="DW148" s="30"/>
      <c r="DX148" s="30"/>
      <c r="DY148" s="30"/>
      <c r="DZ148" s="30"/>
      <c r="EA148" s="30"/>
      <c r="EB148" s="30"/>
      <c r="EC148" s="30"/>
      <c r="ED148" s="30"/>
      <c r="EE148" s="30"/>
      <c r="EF148" s="30"/>
      <c r="EG148" s="30"/>
      <c r="EH148" s="30"/>
      <c r="EI148" s="30"/>
      <c r="EJ148" s="30"/>
      <c r="EK148" s="30"/>
      <c r="EL148" s="30"/>
      <c r="EM148" s="30"/>
      <c r="EN148" s="30"/>
      <c r="EO148" s="30"/>
      <c r="EP148" s="30"/>
      <c r="EQ148" s="30"/>
      <c r="ER148" s="30"/>
      <c r="ES148" s="30"/>
      <c r="ET148" s="30"/>
      <c r="EU148" s="30"/>
      <c r="EV148" s="30"/>
      <c r="EW148" s="87" t="s">
        <v>279</v>
      </c>
      <c r="EX148" s="30"/>
      <c r="EY148" s="30"/>
      <c r="EZ148" s="30"/>
      <c r="FA148" s="30"/>
      <c r="FB148" s="30"/>
      <c r="FC148" s="30"/>
      <c r="FD148" s="30"/>
      <c r="FE148" s="30"/>
      <c r="FF148" s="30"/>
      <c r="FG148" s="30"/>
      <c r="FH148" s="87" t="s">
        <v>279</v>
      </c>
      <c r="FI148" s="30"/>
      <c r="FJ148" s="30"/>
      <c r="FK148" s="30"/>
      <c r="FL148" s="30"/>
      <c r="FM148" s="30"/>
      <c r="FN148" s="30"/>
      <c r="FO148" s="30"/>
      <c r="FP148" s="30"/>
      <c r="FQ148" s="30"/>
      <c r="FR148" s="30"/>
      <c r="FS148" s="30"/>
      <c r="FT148" s="30"/>
      <c r="FU148" s="30"/>
      <c r="FV148" s="30"/>
      <c r="FW148" s="30"/>
      <c r="FX148" s="30"/>
      <c r="FY148" s="30"/>
      <c r="FZ148" s="30"/>
      <c r="GA148" s="30"/>
      <c r="GB148" s="30"/>
      <c r="GC148" s="30"/>
      <c r="GD148" s="30"/>
      <c r="GE148" s="30"/>
      <c r="GF148" s="30"/>
      <c r="GG148" s="30"/>
      <c r="GH148" s="30"/>
      <c r="GI148" s="30"/>
      <c r="GJ148" s="30"/>
      <c r="GK148" s="30"/>
      <c r="GL148" s="30"/>
      <c r="GM148" s="30"/>
      <c r="GN148" s="30"/>
      <c r="GO148" s="30"/>
      <c r="GP148" s="30"/>
      <c r="GQ148" s="30"/>
      <c r="GR148" s="30"/>
      <c r="GS148" s="30"/>
      <c r="GT148" s="30"/>
      <c r="GU148" s="30"/>
      <c r="GV148" s="30"/>
      <c r="GW148" s="30"/>
      <c r="GX148" s="30"/>
      <c r="GY148" s="30"/>
      <c r="GZ148" s="30"/>
      <c r="HA148" s="30"/>
      <c r="HB148" s="30"/>
      <c r="HC148" s="30"/>
      <c r="HD148" s="30"/>
      <c r="HE148" s="30"/>
    </row>
    <row r="149">
      <c r="A149" s="64" t="s">
        <v>310</v>
      </c>
      <c r="B149" s="9">
        <v>1.2</v>
      </c>
      <c r="C149" s="101">
        <v>0.08</v>
      </c>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87" t="s">
        <v>279</v>
      </c>
      <c r="AC149" s="30"/>
      <c r="AD149" s="30"/>
      <c r="AE149" s="30"/>
      <c r="AF149" s="30"/>
      <c r="AG149" s="30"/>
      <c r="AH149" s="30"/>
      <c r="AI149" s="30"/>
      <c r="AJ149" s="30"/>
      <c r="AK149" s="30"/>
      <c r="AL149" s="30"/>
      <c r="AM149" s="30"/>
      <c r="AN149" s="30"/>
      <c r="AO149" s="87" t="s">
        <v>279</v>
      </c>
      <c r="AP149" s="30"/>
      <c r="AQ149" s="30"/>
      <c r="AR149" s="30"/>
      <c r="AS149" s="87" t="s">
        <v>279</v>
      </c>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87" t="s">
        <v>279</v>
      </c>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87" t="s">
        <v>279</v>
      </c>
      <c r="CS149" s="30"/>
      <c r="CT149" s="30"/>
      <c r="CU149" s="30"/>
      <c r="CV149" s="87" t="s">
        <v>279</v>
      </c>
      <c r="CW149" s="30"/>
      <c r="CX149" s="30"/>
      <c r="CY149" s="30"/>
      <c r="CZ149" s="30"/>
      <c r="DA149" s="30"/>
      <c r="DB149" s="30"/>
      <c r="DC149" s="30"/>
      <c r="DD149" s="30"/>
      <c r="DE149" s="30"/>
      <c r="DF149" s="30"/>
      <c r="DG149" s="30"/>
      <c r="DH149" s="30"/>
      <c r="DI149" s="30"/>
      <c r="DJ149" s="30"/>
      <c r="DK149" s="87" t="s">
        <v>279</v>
      </c>
      <c r="DL149" s="30"/>
      <c r="DM149" s="30"/>
      <c r="DN149" s="30"/>
      <c r="DO149" s="30"/>
      <c r="DP149" s="30"/>
      <c r="DQ149" s="30"/>
      <c r="DR149" s="30"/>
      <c r="DS149" s="30"/>
      <c r="DT149" s="30"/>
      <c r="DU149" s="30"/>
      <c r="DV149" s="30"/>
      <c r="DW149" s="30"/>
      <c r="DX149" s="30"/>
      <c r="DY149" s="30"/>
      <c r="DZ149" s="30"/>
      <c r="EA149" s="30"/>
      <c r="EB149" s="87" t="s">
        <v>279</v>
      </c>
      <c r="EC149" s="30"/>
      <c r="ED149" s="30"/>
      <c r="EE149" s="30"/>
      <c r="EF149" s="87" t="s">
        <v>279</v>
      </c>
      <c r="EG149" s="30"/>
      <c r="EH149" s="30"/>
      <c r="EI149" s="30"/>
      <c r="EJ149" s="30"/>
      <c r="EK149" s="30"/>
      <c r="EL149" s="87" t="s">
        <v>279</v>
      </c>
      <c r="EM149" s="30"/>
      <c r="EN149" s="87" t="s">
        <v>279</v>
      </c>
      <c r="EO149" s="30"/>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c r="FL149" s="87" t="s">
        <v>279</v>
      </c>
      <c r="FM149" s="87" t="s">
        <v>279</v>
      </c>
      <c r="FN149" s="30"/>
      <c r="FO149" s="30"/>
      <c r="FP149" s="30"/>
      <c r="FQ149" s="30"/>
      <c r="FR149" s="30"/>
      <c r="FS149" s="30"/>
      <c r="FT149" s="30"/>
      <c r="FU149" s="30"/>
      <c r="FV149" s="30"/>
      <c r="FW149" s="30"/>
      <c r="FX149" s="30"/>
      <c r="FY149" s="30"/>
      <c r="FZ149" s="30"/>
      <c r="GA149" s="30"/>
      <c r="GB149" s="30"/>
      <c r="GC149" s="30"/>
      <c r="GD149" s="30"/>
      <c r="GE149" s="87" t="s">
        <v>279</v>
      </c>
      <c r="GF149" s="30"/>
      <c r="GG149" s="30"/>
      <c r="GH149" s="30"/>
      <c r="GI149" s="30"/>
      <c r="GJ149" s="30"/>
      <c r="GK149" s="30"/>
      <c r="GL149" s="87" t="s">
        <v>279</v>
      </c>
      <c r="GM149" s="30"/>
      <c r="GN149" s="30"/>
      <c r="GO149" s="30"/>
      <c r="GP149" s="30"/>
      <c r="GQ149" s="30"/>
      <c r="GR149" s="30"/>
      <c r="GS149" s="87" t="s">
        <v>279</v>
      </c>
      <c r="GT149" s="30"/>
      <c r="GU149" s="30"/>
      <c r="GV149" s="30"/>
      <c r="GW149" s="30"/>
      <c r="GX149" s="30"/>
      <c r="GY149" s="30"/>
      <c r="GZ149" s="30"/>
      <c r="HA149" s="30"/>
      <c r="HB149" s="30"/>
      <c r="HC149" s="30"/>
      <c r="HD149" s="30"/>
      <c r="HE149" s="30"/>
    </row>
    <row r="150">
      <c r="A150" s="64" t="s">
        <v>311</v>
      </c>
      <c r="B150" s="9">
        <v>0.9</v>
      </c>
      <c r="C150" s="101">
        <v>0.06</v>
      </c>
      <c r="D150" s="30"/>
      <c r="E150" s="30"/>
      <c r="F150" s="87" t="s">
        <v>279</v>
      </c>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87" t="s">
        <v>279</v>
      </c>
      <c r="BA150" s="30"/>
      <c r="BB150" s="87" t="s">
        <v>279</v>
      </c>
      <c r="BC150" s="30"/>
      <c r="BD150" s="30"/>
      <c r="BE150" s="30"/>
      <c r="BF150" s="30"/>
      <c r="BG150" s="30"/>
      <c r="BH150" s="30"/>
      <c r="BI150" s="30"/>
      <c r="BJ150" s="30"/>
      <c r="BK150" s="30"/>
      <c r="BL150" s="30"/>
      <c r="BM150" s="30"/>
      <c r="BN150" s="30"/>
      <c r="BO150" s="87" t="s">
        <v>279</v>
      </c>
      <c r="BP150" s="87" t="s">
        <v>279</v>
      </c>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87" t="s">
        <v>279</v>
      </c>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87" t="s">
        <v>279</v>
      </c>
      <c r="EN150" s="30"/>
      <c r="EO150" s="30"/>
      <c r="EP150" s="30"/>
      <c r="EQ150" s="30"/>
      <c r="ER150" s="30"/>
      <c r="ES150" s="30"/>
      <c r="ET150" s="30"/>
      <c r="EU150" s="30"/>
      <c r="EV150" s="30"/>
      <c r="EW150" s="30"/>
      <c r="EX150" s="30"/>
      <c r="EY150" s="87" t="s">
        <v>279</v>
      </c>
      <c r="EZ150" s="30"/>
      <c r="FA150" s="30"/>
      <c r="FB150" s="30"/>
      <c r="FC150" s="30"/>
      <c r="FD150" s="30"/>
      <c r="FE150" s="30"/>
      <c r="FF150" s="30"/>
      <c r="FG150" s="30"/>
      <c r="FH150" s="30"/>
      <c r="FI150" s="30"/>
      <c r="FJ150" s="30"/>
      <c r="FK150" s="30"/>
      <c r="FL150" s="30"/>
      <c r="FM150" s="30"/>
      <c r="FN150" s="87" t="s">
        <v>279</v>
      </c>
      <c r="FO150" s="30"/>
      <c r="FP150" s="30"/>
      <c r="FQ150" s="30"/>
      <c r="FR150" s="30"/>
      <c r="FS150" s="30"/>
      <c r="FT150" s="30"/>
      <c r="FU150" s="30"/>
      <c r="FV150" s="30"/>
      <c r="FW150" s="30"/>
      <c r="FX150" s="30"/>
      <c r="FY150" s="30"/>
      <c r="FZ150" s="30"/>
      <c r="GA150" s="30"/>
      <c r="GB150" s="30"/>
      <c r="GC150" s="30"/>
      <c r="GD150" s="30"/>
      <c r="GE150" s="30"/>
      <c r="GF150" s="30"/>
      <c r="GG150" s="30"/>
      <c r="GH150" s="87" t="s">
        <v>279</v>
      </c>
      <c r="GI150" s="30"/>
      <c r="GJ150" s="30"/>
      <c r="GK150" s="30"/>
      <c r="GL150" s="30"/>
      <c r="GM150" s="30"/>
      <c r="GN150" s="30"/>
      <c r="GO150" s="30"/>
      <c r="GP150" s="87" t="s">
        <v>279</v>
      </c>
      <c r="GQ150" s="30"/>
      <c r="GR150" s="30"/>
      <c r="GS150" s="30"/>
      <c r="GT150" s="87" t="s">
        <v>279</v>
      </c>
      <c r="GU150" s="30"/>
      <c r="GV150" s="30"/>
      <c r="GW150" s="30"/>
      <c r="GX150" s="30"/>
      <c r="GY150" s="30"/>
      <c r="GZ150" s="30"/>
      <c r="HA150" s="30"/>
      <c r="HB150" s="30"/>
      <c r="HC150" s="30"/>
      <c r="HD150" s="30"/>
      <c r="HE150" s="30"/>
    </row>
    <row r="151">
      <c r="A151" s="64" t="s">
        <v>365</v>
      </c>
      <c r="B151" s="9">
        <v>0.225</v>
      </c>
      <c r="C151" s="101">
        <v>0.015</v>
      </c>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87" t="s">
        <v>279</v>
      </c>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87" t="s">
        <v>279</v>
      </c>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30"/>
      <c r="EQ151" s="30"/>
      <c r="ER151" s="30"/>
      <c r="ES151" s="30"/>
      <c r="ET151" s="30"/>
      <c r="EU151" s="30"/>
      <c r="EV151" s="30"/>
      <c r="EW151" s="30"/>
      <c r="EX151" s="30"/>
      <c r="EY151" s="30"/>
      <c r="EZ151" s="30"/>
      <c r="FA151" s="30"/>
      <c r="FB151" s="30"/>
      <c r="FC151" s="30"/>
      <c r="FD151" s="87" t="s">
        <v>279</v>
      </c>
      <c r="FE151" s="30"/>
      <c r="FF151" s="30"/>
      <c r="FG151" s="30"/>
      <c r="FH151" s="30"/>
      <c r="FI151" s="30"/>
      <c r="FJ151" s="30"/>
      <c r="FK151" s="30"/>
      <c r="FL151" s="30"/>
      <c r="FM151" s="30"/>
      <c r="FN151" s="30"/>
      <c r="FO151" s="30"/>
      <c r="FP151" s="30"/>
      <c r="FQ151" s="30"/>
      <c r="FR151" s="30"/>
      <c r="FS151" s="30"/>
      <c r="FT151" s="30"/>
      <c r="FU151" s="30"/>
      <c r="FV151" s="30"/>
      <c r="FW151" s="30"/>
      <c r="FX151" s="30"/>
      <c r="FY151" s="30"/>
      <c r="FZ151" s="30"/>
      <c r="GA151" s="30"/>
      <c r="GB151" s="30"/>
      <c r="GC151" s="30"/>
      <c r="GD151" s="30"/>
      <c r="GE151" s="30"/>
      <c r="GF151" s="30"/>
      <c r="GG151" s="30"/>
      <c r="GH151" s="30"/>
      <c r="GI151" s="30"/>
      <c r="GJ151" s="30"/>
      <c r="GK151" s="30"/>
      <c r="GL151" s="30"/>
      <c r="GM151" s="30"/>
      <c r="GN151" s="30"/>
      <c r="GO151" s="30"/>
      <c r="GP151" s="30"/>
      <c r="GQ151" s="30"/>
      <c r="GR151" s="30"/>
      <c r="GS151" s="30"/>
      <c r="GT151" s="30"/>
      <c r="GU151" s="30"/>
      <c r="GV151" s="30"/>
      <c r="GW151" s="30"/>
      <c r="GX151" s="30"/>
      <c r="GY151" s="30"/>
      <c r="GZ151" s="30"/>
      <c r="HA151" s="30"/>
      <c r="HB151" s="30"/>
      <c r="HC151" s="30"/>
      <c r="HD151" s="30"/>
      <c r="HE151" s="30"/>
    </row>
    <row r="152">
      <c r="A152" s="64" t="s">
        <v>313</v>
      </c>
      <c r="B152" s="9">
        <v>1.2</v>
      </c>
      <c r="C152" s="101">
        <v>0.08</v>
      </c>
      <c r="D152" s="30"/>
      <c r="E152" s="30"/>
      <c r="F152" s="30"/>
      <c r="G152" s="30"/>
      <c r="H152" s="30"/>
      <c r="I152" s="30"/>
      <c r="J152" s="87" t="s">
        <v>279</v>
      </c>
      <c r="K152" s="30"/>
      <c r="L152" s="30"/>
      <c r="M152" s="30"/>
      <c r="N152" s="30"/>
      <c r="O152" s="30"/>
      <c r="P152" s="30"/>
      <c r="Q152" s="30"/>
      <c r="R152" s="30"/>
      <c r="S152" s="30"/>
      <c r="T152" s="30"/>
      <c r="U152" s="30"/>
      <c r="V152" s="30"/>
      <c r="W152" s="30"/>
      <c r="X152" s="30"/>
      <c r="Y152" s="87" t="s">
        <v>279</v>
      </c>
      <c r="Z152" s="30"/>
      <c r="AA152" s="30"/>
      <c r="AB152" s="30"/>
      <c r="AC152" s="30"/>
      <c r="AD152" s="30"/>
      <c r="AE152" s="30"/>
      <c r="AF152" s="30"/>
      <c r="AG152" s="87" t="s">
        <v>279</v>
      </c>
      <c r="AH152" s="30"/>
      <c r="AI152" s="30"/>
      <c r="AJ152" s="30"/>
      <c r="AK152" s="30"/>
      <c r="AL152" s="87" t="s">
        <v>279</v>
      </c>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87" t="s">
        <v>279</v>
      </c>
      <c r="CC152" s="30"/>
      <c r="CD152" s="30"/>
      <c r="CE152" s="30"/>
      <c r="CF152" s="30"/>
      <c r="CG152" s="30"/>
      <c r="CH152" s="30"/>
      <c r="CI152" s="30"/>
      <c r="CJ152" s="30"/>
      <c r="CK152" s="30"/>
      <c r="CL152" s="87" t="s">
        <v>279</v>
      </c>
      <c r="CM152" s="30"/>
      <c r="CN152" s="30"/>
      <c r="CO152" s="87" t="s">
        <v>279</v>
      </c>
      <c r="CP152" s="30"/>
      <c r="CQ152" s="30"/>
      <c r="CR152" s="30"/>
      <c r="CS152" s="30"/>
      <c r="CT152" s="87" t="s">
        <v>279</v>
      </c>
      <c r="CU152" s="30"/>
      <c r="CV152" s="30"/>
      <c r="CW152" s="87" t="s">
        <v>279</v>
      </c>
      <c r="CX152" s="30"/>
      <c r="CY152" s="87" t="s">
        <v>279</v>
      </c>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87" t="s">
        <v>279</v>
      </c>
      <c r="ED152" s="30"/>
      <c r="EE152" s="30"/>
      <c r="EF152" s="30"/>
      <c r="EG152" s="30"/>
      <c r="EH152" s="30"/>
      <c r="EI152" s="30"/>
      <c r="EJ152" s="30"/>
      <c r="EK152" s="30"/>
      <c r="EL152" s="30"/>
      <c r="EM152" s="30"/>
      <c r="EN152" s="30"/>
      <c r="EO152" s="87" t="s">
        <v>279</v>
      </c>
      <c r="EP152" s="30"/>
      <c r="EQ152" s="30"/>
      <c r="ER152" s="30"/>
      <c r="ES152" s="30"/>
      <c r="ET152" s="30"/>
      <c r="EU152" s="30"/>
      <c r="EV152" s="30"/>
      <c r="EW152" s="30"/>
      <c r="EX152" s="30"/>
      <c r="EY152" s="30"/>
      <c r="EZ152" s="30"/>
      <c r="FA152" s="30"/>
      <c r="FB152" s="30"/>
      <c r="FC152" s="30"/>
      <c r="FD152" s="30"/>
      <c r="FE152" s="87" t="s">
        <v>279</v>
      </c>
      <c r="FF152" s="30"/>
      <c r="FG152" s="30"/>
      <c r="FH152" s="30"/>
      <c r="FI152" s="30"/>
      <c r="FJ152" s="30"/>
      <c r="FK152" s="87" t="s">
        <v>279</v>
      </c>
      <c r="FL152" s="30"/>
      <c r="FM152" s="30"/>
      <c r="FN152" s="30"/>
      <c r="FO152" s="30"/>
      <c r="FP152" s="87" t="s">
        <v>279</v>
      </c>
      <c r="FQ152" s="30"/>
      <c r="FR152" s="30"/>
      <c r="FS152" s="30"/>
      <c r="FT152" s="30"/>
      <c r="FU152" s="30"/>
      <c r="FV152" s="30"/>
      <c r="FW152" s="30"/>
      <c r="FX152" s="30"/>
      <c r="FY152" s="30"/>
      <c r="FZ152" s="87" t="s">
        <v>279</v>
      </c>
      <c r="GA152" s="30"/>
      <c r="GB152" s="30"/>
      <c r="GC152" s="30"/>
      <c r="GD152" s="30"/>
      <c r="GE152" s="30"/>
      <c r="GF152" s="30"/>
      <c r="GG152" s="30"/>
      <c r="GH152" s="30"/>
      <c r="GI152" s="30"/>
      <c r="GJ152" s="30"/>
      <c r="GK152" s="30"/>
      <c r="GL152" s="30"/>
      <c r="GM152" s="30"/>
      <c r="GN152" s="30"/>
      <c r="GO152" s="30"/>
      <c r="GP152" s="30"/>
      <c r="GQ152" s="30"/>
      <c r="GR152" s="30"/>
      <c r="GS152" s="30"/>
      <c r="GT152" s="30"/>
      <c r="GU152" s="30"/>
      <c r="GV152" s="30"/>
      <c r="GW152" s="30"/>
      <c r="GX152" s="30"/>
      <c r="GY152" s="30"/>
      <c r="GZ152" s="30"/>
      <c r="HA152" s="30"/>
      <c r="HB152" s="30"/>
      <c r="HC152" s="30"/>
      <c r="HD152" s="30"/>
      <c r="HE152" s="30"/>
    </row>
    <row r="153">
      <c r="A153" s="64" t="s">
        <v>314</v>
      </c>
      <c r="B153" s="9">
        <v>0.75</v>
      </c>
      <c r="C153" s="101">
        <v>0.05</v>
      </c>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87" t="s">
        <v>279</v>
      </c>
      <c r="AB153" s="30"/>
      <c r="AC153" s="30"/>
      <c r="AD153" s="30"/>
      <c r="AE153" s="30"/>
      <c r="AF153" s="30"/>
      <c r="AG153" s="30"/>
      <c r="AH153" s="30"/>
      <c r="AI153" s="30"/>
      <c r="AJ153" s="30"/>
      <c r="AK153" s="30"/>
      <c r="AL153" s="30"/>
      <c r="AM153" s="30"/>
      <c r="AN153" s="30"/>
      <c r="AO153" s="30"/>
      <c r="AP153" s="30"/>
      <c r="AQ153" s="30"/>
      <c r="AR153" s="30"/>
      <c r="AS153" s="30"/>
      <c r="AT153" s="30"/>
      <c r="AU153" s="30"/>
      <c r="AV153" s="87" t="s">
        <v>279</v>
      </c>
      <c r="AW153" s="30"/>
      <c r="AX153" s="30"/>
      <c r="AY153" s="30"/>
      <c r="AZ153" s="30"/>
      <c r="BA153" s="30"/>
      <c r="BB153" s="30"/>
      <c r="BC153" s="30"/>
      <c r="BD153" s="30"/>
      <c r="BE153" s="30"/>
      <c r="BF153" s="30"/>
      <c r="BG153" s="30"/>
      <c r="BH153" s="30"/>
      <c r="BI153" s="87" t="s">
        <v>279</v>
      </c>
      <c r="BJ153" s="30"/>
      <c r="BK153" s="30"/>
      <c r="BL153" s="87" t="s">
        <v>279</v>
      </c>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87" t="s">
        <v>279</v>
      </c>
      <c r="CR153" s="30"/>
      <c r="CS153" s="30"/>
      <c r="CT153" s="30"/>
      <c r="CU153" s="30"/>
      <c r="CV153" s="30"/>
      <c r="CW153" s="30"/>
      <c r="CX153" s="30"/>
      <c r="CY153" s="30"/>
      <c r="CZ153" s="30"/>
      <c r="DA153" s="30"/>
      <c r="DB153" s="30"/>
      <c r="DC153" s="30"/>
      <c r="DD153" s="30"/>
      <c r="DE153" s="30"/>
      <c r="DF153" s="30"/>
      <c r="DG153" s="30"/>
      <c r="DH153" s="30"/>
      <c r="DI153" s="87" t="s">
        <v>279</v>
      </c>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87" t="s">
        <v>279</v>
      </c>
      <c r="EJ153" s="30"/>
      <c r="EK153" s="30"/>
      <c r="EL153" s="30"/>
      <c r="EM153" s="30"/>
      <c r="EN153" s="30"/>
      <c r="EO153" s="30"/>
      <c r="EP153" s="30"/>
      <c r="EQ153" s="30"/>
      <c r="ER153" s="30"/>
      <c r="ES153" s="30"/>
      <c r="ET153" s="30"/>
      <c r="EU153" s="30"/>
      <c r="EV153" s="87" t="s">
        <v>279</v>
      </c>
      <c r="EW153" s="30"/>
      <c r="EX153" s="30"/>
      <c r="EY153" s="30"/>
      <c r="EZ153" s="87" t="s">
        <v>279</v>
      </c>
      <c r="FA153" s="30"/>
      <c r="FB153" s="30"/>
      <c r="FC153" s="30"/>
      <c r="FD153" s="30"/>
      <c r="FE153" s="30"/>
      <c r="FF153" s="30"/>
      <c r="FG153" s="30"/>
      <c r="FH153" s="30"/>
      <c r="FI153" s="87" t="s">
        <v>279</v>
      </c>
      <c r="FJ153" s="30"/>
      <c r="FK153" s="30"/>
      <c r="FL153" s="30"/>
      <c r="FM153" s="30"/>
      <c r="FN153" s="30"/>
      <c r="FO153" s="30"/>
      <c r="FP153" s="30"/>
      <c r="FQ153" s="30"/>
      <c r="FR153" s="30"/>
      <c r="FS153" s="30"/>
      <c r="FT153" s="30"/>
      <c r="FU153" s="30"/>
      <c r="FV153" s="30"/>
      <c r="FW153" s="30"/>
      <c r="FX153" s="30"/>
      <c r="FY153" s="30"/>
      <c r="FZ153" s="30"/>
      <c r="GA153" s="30"/>
      <c r="GB153" s="30"/>
      <c r="GC153" s="30"/>
      <c r="GD153" s="30"/>
      <c r="GE153" s="30"/>
      <c r="GF153" s="30"/>
      <c r="GG153" s="30"/>
      <c r="GH153" s="30"/>
      <c r="GI153" s="30"/>
      <c r="GJ153" s="30"/>
      <c r="GK153" s="30"/>
      <c r="GL153" s="30"/>
      <c r="GM153" s="30"/>
      <c r="GN153" s="30"/>
      <c r="GO153" s="30"/>
      <c r="GP153" s="30"/>
      <c r="GQ153" s="30"/>
      <c r="GR153" s="30"/>
      <c r="GS153" s="30"/>
      <c r="GT153" s="30"/>
      <c r="GU153" s="30"/>
      <c r="GV153" s="30"/>
      <c r="GW153" s="30"/>
      <c r="GX153" s="30"/>
      <c r="GY153" s="30"/>
      <c r="GZ153" s="30"/>
      <c r="HA153" s="30"/>
      <c r="HB153" s="30"/>
      <c r="HC153" s="30"/>
      <c r="HD153" s="30"/>
      <c r="HE153" s="30"/>
    </row>
    <row r="154">
      <c r="A154" s="64" t="s">
        <v>315</v>
      </c>
      <c r="B154" s="9">
        <v>0.675</v>
      </c>
      <c r="C154" s="101">
        <v>0.045</v>
      </c>
      <c r="D154" s="30"/>
      <c r="E154" s="30"/>
      <c r="F154" s="30"/>
      <c r="G154" s="30"/>
      <c r="H154" s="30"/>
      <c r="I154" s="30"/>
      <c r="J154" s="30"/>
      <c r="K154" s="30"/>
      <c r="L154" s="30"/>
      <c r="M154" s="30"/>
      <c r="N154" s="30"/>
      <c r="O154" s="30"/>
      <c r="P154" s="30"/>
      <c r="Q154" s="30"/>
      <c r="R154" s="30"/>
      <c r="S154" s="30"/>
      <c r="T154" s="30"/>
      <c r="U154" s="30"/>
      <c r="V154" s="30"/>
      <c r="W154" s="30"/>
      <c r="X154" s="30"/>
      <c r="Y154" s="30"/>
      <c r="Z154" s="87" t="s">
        <v>279</v>
      </c>
      <c r="AA154" s="30"/>
      <c r="AB154" s="30"/>
      <c r="AC154" s="87" t="s">
        <v>279</v>
      </c>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87" t="s">
        <v>279</v>
      </c>
      <c r="BO154" s="30"/>
      <c r="BP154" s="30"/>
      <c r="BQ154" s="30"/>
      <c r="BR154" s="87" t="s">
        <v>279</v>
      </c>
      <c r="BS154" s="30"/>
      <c r="BT154" s="30"/>
      <c r="BU154" s="87" t="s">
        <v>279</v>
      </c>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87" t="s">
        <v>279</v>
      </c>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87" t="s">
        <v>279</v>
      </c>
      <c r="DW154" s="30"/>
      <c r="DX154" s="30"/>
      <c r="DY154" s="30"/>
      <c r="DZ154" s="30"/>
      <c r="EA154" s="30"/>
      <c r="EB154" s="30"/>
      <c r="EC154" s="30"/>
      <c r="ED154" s="30"/>
      <c r="EE154" s="30"/>
      <c r="EF154" s="30"/>
      <c r="EG154" s="30"/>
      <c r="EH154" s="30"/>
      <c r="EI154" s="30"/>
      <c r="EJ154" s="30"/>
      <c r="EK154" s="30"/>
      <c r="EL154" s="30"/>
      <c r="EM154" s="30"/>
      <c r="EN154" s="30"/>
      <c r="EO154" s="30"/>
      <c r="EP154" s="30"/>
      <c r="EQ154" s="30"/>
      <c r="ER154" s="30"/>
      <c r="ES154" s="30"/>
      <c r="ET154" s="30"/>
      <c r="EU154" s="30"/>
      <c r="EV154" s="30"/>
      <c r="EW154" s="30"/>
      <c r="EX154" s="30"/>
      <c r="EY154" s="30"/>
      <c r="EZ154" s="30"/>
      <c r="FA154" s="30"/>
      <c r="FB154" s="30"/>
      <c r="FC154" s="30"/>
      <c r="FD154" s="30"/>
      <c r="FE154" s="30"/>
      <c r="FF154" s="30"/>
      <c r="FG154" s="30"/>
      <c r="FH154" s="30"/>
      <c r="FI154" s="30"/>
      <c r="FJ154" s="30"/>
      <c r="FK154" s="30"/>
      <c r="FL154" s="30"/>
      <c r="FM154" s="30"/>
      <c r="FN154" s="30"/>
      <c r="FO154" s="30"/>
      <c r="FP154" s="30"/>
      <c r="FQ154" s="30"/>
      <c r="FR154" s="30"/>
      <c r="FS154" s="30"/>
      <c r="FT154" s="30"/>
      <c r="FU154" s="30"/>
      <c r="FV154" s="30"/>
      <c r="FW154" s="30"/>
      <c r="FX154" s="30"/>
      <c r="FY154" s="87" t="s">
        <v>279</v>
      </c>
      <c r="FZ154" s="30"/>
      <c r="GA154" s="30"/>
      <c r="GB154" s="30"/>
      <c r="GC154" s="30"/>
      <c r="GD154" s="30"/>
      <c r="GE154" s="30"/>
      <c r="GF154" s="30"/>
      <c r="GG154" s="30"/>
      <c r="GH154" s="30"/>
      <c r="GI154" s="30"/>
      <c r="GJ154" s="30"/>
      <c r="GK154" s="30"/>
      <c r="GL154" s="30"/>
      <c r="GM154" s="30"/>
      <c r="GN154" s="87" t="s">
        <v>279</v>
      </c>
      <c r="GO154" s="30"/>
      <c r="GP154" s="30"/>
      <c r="GQ154" s="30"/>
      <c r="GR154" s="30"/>
      <c r="GS154" s="30"/>
      <c r="GT154" s="30"/>
      <c r="GU154" s="30"/>
      <c r="GV154" s="30"/>
      <c r="GW154" s="30"/>
      <c r="GX154" s="30"/>
      <c r="GY154" s="30"/>
      <c r="GZ154" s="30"/>
      <c r="HA154" s="30"/>
      <c r="HB154" s="30"/>
      <c r="HC154" s="30"/>
      <c r="HD154" s="30"/>
      <c r="HE154" s="30"/>
    </row>
    <row r="155">
      <c r="A155" s="96"/>
      <c r="B155" s="96"/>
      <c r="C155" s="104"/>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30"/>
      <c r="EQ155" s="30"/>
      <c r="ER155" s="30"/>
      <c r="ES155" s="30"/>
      <c r="ET155" s="30"/>
      <c r="EU155" s="30"/>
      <c r="EV155" s="30"/>
      <c r="EW155" s="30"/>
      <c r="EX155" s="30"/>
      <c r="EY155" s="30"/>
      <c r="EZ155" s="30"/>
      <c r="FA155" s="30"/>
      <c r="FB155" s="30"/>
      <c r="FC155" s="30"/>
      <c r="FD155" s="30"/>
      <c r="FE155" s="30"/>
      <c r="FF155" s="30"/>
      <c r="FG155" s="30"/>
      <c r="FH155" s="30"/>
      <c r="FI155" s="30"/>
      <c r="FJ155" s="30"/>
      <c r="FK155" s="30"/>
      <c r="FL155" s="30"/>
      <c r="FM155" s="30"/>
      <c r="FN155" s="30"/>
      <c r="FO155" s="30"/>
      <c r="FP155" s="30"/>
      <c r="FQ155" s="30"/>
      <c r="FR155" s="30"/>
      <c r="FS155" s="30"/>
      <c r="FT155" s="30"/>
      <c r="FU155" s="30"/>
      <c r="FV155" s="30"/>
      <c r="FW155" s="30"/>
      <c r="FX155" s="30"/>
      <c r="FY155" s="30"/>
      <c r="FZ155" s="30"/>
      <c r="GA155" s="30"/>
      <c r="GB155" s="30"/>
      <c r="GC155" s="30"/>
      <c r="GD155" s="30"/>
      <c r="GE155" s="30"/>
      <c r="GF155" s="30"/>
      <c r="GG155" s="30"/>
      <c r="GH155" s="30"/>
      <c r="GI155" s="30"/>
      <c r="GJ155" s="30"/>
      <c r="GK155" s="30"/>
      <c r="GL155" s="30"/>
      <c r="GM155" s="30"/>
      <c r="GN155" s="30"/>
      <c r="GO155" s="30"/>
      <c r="GP155" s="30"/>
      <c r="GQ155" s="30"/>
      <c r="GR155" s="30"/>
      <c r="GS155" s="30"/>
      <c r="GT155" s="30"/>
      <c r="GU155" s="30"/>
      <c r="GV155" s="30"/>
      <c r="GW155" s="30"/>
      <c r="GX155" s="30"/>
      <c r="GY155" s="30"/>
      <c r="GZ155" s="30"/>
      <c r="HA155" s="30"/>
      <c r="HB155" s="30"/>
      <c r="HC155" s="30"/>
      <c r="HD155" s="30"/>
      <c r="HE155" s="30"/>
    </row>
    <row r="156">
      <c r="A156" s="110" t="s">
        <v>316</v>
      </c>
      <c r="B156" s="9">
        <v>0.015</v>
      </c>
      <c r="C156" s="111">
        <v>3.0</v>
      </c>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87">
        <v>1.0</v>
      </c>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87">
        <v>1.0</v>
      </c>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30"/>
      <c r="EO156" s="30"/>
      <c r="EP156" s="30"/>
      <c r="EQ156" s="30"/>
      <c r="ER156" s="30"/>
      <c r="ES156" s="30"/>
      <c r="ET156" s="30"/>
      <c r="EU156" s="30"/>
      <c r="EV156" s="30"/>
      <c r="EW156" s="30"/>
      <c r="EX156" s="30"/>
      <c r="EY156" s="30"/>
      <c r="EZ156" s="30"/>
      <c r="FA156" s="30"/>
      <c r="FB156" s="30"/>
      <c r="FC156" s="30"/>
      <c r="FD156" s="30"/>
      <c r="FE156" s="30"/>
      <c r="FF156" s="30"/>
      <c r="FG156" s="30"/>
      <c r="FH156" s="30"/>
      <c r="FI156" s="30"/>
      <c r="FJ156" s="30"/>
      <c r="FK156" s="30"/>
      <c r="FL156" s="30"/>
      <c r="FM156" s="30"/>
      <c r="FN156" s="30"/>
      <c r="FO156" s="30"/>
      <c r="FP156" s="30"/>
      <c r="FQ156" s="30"/>
      <c r="FR156" s="30"/>
      <c r="FS156" s="30"/>
      <c r="FT156" s="30"/>
      <c r="FU156" s="30"/>
      <c r="FV156" s="30"/>
      <c r="FW156" s="30"/>
      <c r="FX156" s="30"/>
      <c r="FY156" s="30"/>
      <c r="FZ156" s="30"/>
      <c r="GA156" s="30"/>
      <c r="GB156" s="30"/>
      <c r="GC156" s="30"/>
      <c r="GD156" s="30"/>
      <c r="GE156" s="30"/>
      <c r="GF156" s="30"/>
      <c r="GG156" s="30"/>
      <c r="GH156" s="30"/>
      <c r="GI156" s="30"/>
      <c r="GJ156" s="30"/>
      <c r="GK156" s="30"/>
      <c r="GL156" s="30"/>
      <c r="GM156" s="30"/>
      <c r="GN156" s="30"/>
      <c r="GO156" s="30"/>
      <c r="GP156" s="30"/>
      <c r="GQ156" s="87">
        <v>1.0</v>
      </c>
      <c r="GR156" s="30"/>
      <c r="GS156" s="30"/>
      <c r="GT156" s="30"/>
      <c r="GU156" s="30"/>
      <c r="GV156" s="30"/>
      <c r="GW156" s="30"/>
      <c r="GX156" s="30"/>
      <c r="GY156" s="30"/>
      <c r="GZ156" s="30"/>
      <c r="HA156" s="30"/>
      <c r="HB156" s="30"/>
      <c r="HC156" s="30"/>
      <c r="HD156" s="30"/>
      <c r="HE156" s="30"/>
    </row>
    <row r="157">
      <c r="A157" s="113" t="s">
        <v>317</v>
      </c>
      <c r="B157" s="9">
        <v>0.04</v>
      </c>
      <c r="C157" s="111">
        <v>8.0</v>
      </c>
      <c r="D157" s="30"/>
      <c r="E157" s="30"/>
      <c r="F157" s="30"/>
      <c r="G157" s="30"/>
      <c r="H157" s="30"/>
      <c r="I157" s="30"/>
      <c r="J157" s="30"/>
      <c r="K157" s="30"/>
      <c r="L157" s="30"/>
      <c r="M157" s="30"/>
      <c r="N157" s="30"/>
      <c r="O157" s="30"/>
      <c r="P157" s="30"/>
      <c r="Q157" s="30"/>
      <c r="R157" s="30"/>
      <c r="S157" s="30"/>
      <c r="T157" s="30"/>
      <c r="U157" s="87">
        <v>1.0</v>
      </c>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87">
        <v>1.0</v>
      </c>
      <c r="EF157" s="30"/>
      <c r="EG157" s="30"/>
      <c r="EH157" s="30"/>
      <c r="EI157" s="30"/>
      <c r="EJ157" s="30"/>
      <c r="EK157" s="30"/>
      <c r="EL157" s="30"/>
      <c r="EM157" s="30"/>
      <c r="EN157" s="30"/>
      <c r="EO157" s="30"/>
      <c r="EP157" s="30"/>
      <c r="EQ157" s="30"/>
      <c r="ER157" s="30"/>
      <c r="ES157" s="30"/>
      <c r="ET157" s="30"/>
      <c r="EU157" s="87">
        <v>2.0</v>
      </c>
      <c r="EV157" s="30"/>
      <c r="EW157" s="30"/>
      <c r="EX157" s="30"/>
      <c r="EY157" s="30"/>
      <c r="EZ157" s="30"/>
      <c r="FA157" s="30"/>
      <c r="FB157" s="30"/>
      <c r="FC157" s="30"/>
      <c r="FD157" s="30"/>
      <c r="FE157" s="30"/>
      <c r="FF157" s="30"/>
      <c r="FG157" s="30"/>
      <c r="FH157" s="30"/>
      <c r="FI157" s="30"/>
      <c r="FJ157" s="30"/>
      <c r="FK157" s="30"/>
      <c r="FL157" s="30"/>
      <c r="FM157" s="30"/>
      <c r="FN157" s="30"/>
      <c r="FO157" s="30"/>
      <c r="FP157" s="30"/>
      <c r="FQ157" s="30"/>
      <c r="FR157" s="30"/>
      <c r="FS157" s="30"/>
      <c r="FT157" s="30"/>
      <c r="FU157" s="87">
        <v>1.0</v>
      </c>
      <c r="FV157" s="30"/>
      <c r="FW157" s="87">
        <v>1.0</v>
      </c>
      <c r="FX157" s="30"/>
      <c r="FY157" s="30"/>
      <c r="FZ157" s="30"/>
      <c r="GA157" s="30"/>
      <c r="GB157" s="30"/>
      <c r="GC157" s="30"/>
      <c r="GD157" s="87">
        <v>1.0</v>
      </c>
      <c r="GE157" s="30"/>
      <c r="GF157" s="30"/>
      <c r="GG157" s="30"/>
      <c r="GH157" s="87">
        <v>1.0</v>
      </c>
      <c r="GI157" s="30"/>
      <c r="GJ157" s="30"/>
      <c r="GK157" s="30"/>
      <c r="GL157" s="30"/>
      <c r="GM157" s="30"/>
      <c r="GN157" s="30"/>
      <c r="GO157" s="30"/>
      <c r="GP157" s="30"/>
      <c r="GQ157" s="30"/>
      <c r="GR157" s="30"/>
      <c r="GS157" s="30"/>
      <c r="GT157" s="30"/>
      <c r="GU157" s="30"/>
      <c r="GV157" s="30"/>
      <c r="GW157" s="30"/>
      <c r="GX157" s="30"/>
      <c r="GY157" s="30"/>
      <c r="GZ157" s="30"/>
      <c r="HA157" s="30"/>
      <c r="HB157" s="30"/>
      <c r="HC157" s="30"/>
      <c r="HD157" s="30"/>
      <c r="HE157" s="30"/>
    </row>
    <row r="158">
      <c r="A158" s="9" t="s">
        <v>318</v>
      </c>
      <c r="B158" s="9">
        <v>0.015</v>
      </c>
      <c r="C158" s="111">
        <v>3.0</v>
      </c>
      <c r="D158" s="30"/>
      <c r="E158" s="30"/>
      <c r="F158" s="30"/>
      <c r="G158" s="30"/>
      <c r="H158" s="30"/>
      <c r="I158" s="30"/>
      <c r="J158" s="30"/>
      <c r="K158" s="30"/>
      <c r="L158" s="30"/>
      <c r="M158" s="30"/>
      <c r="N158" s="30"/>
      <c r="O158" s="30"/>
      <c r="P158" s="30"/>
      <c r="Q158" s="30"/>
      <c r="R158" s="30"/>
      <c r="S158" s="30"/>
      <c r="T158" s="30"/>
      <c r="U158" s="87">
        <v>1.0</v>
      </c>
      <c r="V158" s="30"/>
      <c r="W158" s="30"/>
      <c r="X158" s="30"/>
      <c r="Y158" s="30"/>
      <c r="Z158" s="30"/>
      <c r="AA158" s="30"/>
      <c r="AB158" s="30"/>
      <c r="AC158" s="30"/>
      <c r="AD158" s="30"/>
      <c r="AE158" s="87">
        <v>1.0</v>
      </c>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87">
        <v>1.0</v>
      </c>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30"/>
      <c r="EO158" s="30"/>
      <c r="EP158" s="30"/>
      <c r="EQ158" s="30"/>
      <c r="ER158" s="30"/>
      <c r="ES158" s="30"/>
      <c r="ET158" s="30"/>
      <c r="EU158" s="30"/>
      <c r="EV158" s="30"/>
      <c r="EW158" s="30"/>
      <c r="EX158" s="30"/>
      <c r="EY158" s="30"/>
      <c r="EZ158" s="30"/>
      <c r="FA158" s="30"/>
      <c r="FB158" s="30"/>
      <c r="FC158" s="30"/>
      <c r="FD158" s="30"/>
      <c r="FE158" s="30"/>
      <c r="FF158" s="30"/>
      <c r="FG158" s="30"/>
      <c r="FH158" s="30"/>
      <c r="FI158" s="30"/>
      <c r="FJ158" s="30"/>
      <c r="FK158" s="30"/>
      <c r="FL158" s="30"/>
      <c r="FM158" s="30"/>
      <c r="FN158" s="30"/>
      <c r="FO158" s="30"/>
      <c r="FP158" s="30"/>
      <c r="FQ158" s="30"/>
      <c r="FR158" s="30"/>
      <c r="FS158" s="30"/>
      <c r="FT158" s="30"/>
      <c r="FU158" s="30"/>
      <c r="FV158" s="30"/>
      <c r="FW158" s="30"/>
      <c r="FX158" s="30"/>
      <c r="FY158" s="30"/>
      <c r="FZ158" s="30"/>
      <c r="GA158" s="30"/>
      <c r="GB158" s="30"/>
      <c r="GC158" s="30"/>
      <c r="GD158" s="30"/>
      <c r="GE158" s="30"/>
      <c r="GF158" s="30"/>
      <c r="GG158" s="30"/>
      <c r="GH158" s="30"/>
      <c r="GI158" s="30"/>
      <c r="GJ158" s="30"/>
      <c r="GK158" s="30"/>
      <c r="GL158" s="30"/>
      <c r="GM158" s="30"/>
      <c r="GN158" s="30"/>
      <c r="GO158" s="30"/>
      <c r="GP158" s="30"/>
      <c r="GQ158" s="30"/>
      <c r="GR158" s="30"/>
      <c r="GS158" s="30"/>
      <c r="GT158" s="30"/>
      <c r="GU158" s="30"/>
      <c r="GV158" s="30"/>
      <c r="GW158" s="30"/>
      <c r="GX158" s="30"/>
      <c r="GY158" s="30"/>
      <c r="GZ158" s="30"/>
      <c r="HA158" s="30"/>
      <c r="HB158" s="30"/>
      <c r="HC158" s="30"/>
      <c r="HD158" s="30"/>
      <c r="HE158" s="30"/>
    </row>
    <row r="159">
      <c r="A159" s="9" t="s">
        <v>319</v>
      </c>
      <c r="B159" s="9">
        <v>0.025</v>
      </c>
      <c r="C159" s="111">
        <v>5.0</v>
      </c>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87">
        <v>1.0</v>
      </c>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87">
        <v>1.0</v>
      </c>
      <c r="EN159" s="30"/>
      <c r="EO159" s="30"/>
      <c r="EP159" s="30"/>
      <c r="EQ159" s="30"/>
      <c r="ER159" s="30"/>
      <c r="ES159" s="30"/>
      <c r="ET159" s="30"/>
      <c r="EU159" s="87">
        <v>1.0</v>
      </c>
      <c r="EV159" s="30"/>
      <c r="EW159" s="30"/>
      <c r="EX159" s="30"/>
      <c r="EY159" s="30"/>
      <c r="EZ159" s="30"/>
      <c r="FA159" s="30"/>
      <c r="FB159" s="30"/>
      <c r="FC159" s="30"/>
      <c r="FD159" s="30"/>
      <c r="FE159" s="30"/>
      <c r="FF159" s="30"/>
      <c r="FG159" s="30"/>
      <c r="FH159" s="30"/>
      <c r="FI159" s="30"/>
      <c r="FJ159" s="30"/>
      <c r="FK159" s="30"/>
      <c r="FL159" s="30"/>
      <c r="FM159" s="30"/>
      <c r="FN159" s="30"/>
      <c r="FO159" s="30"/>
      <c r="FP159" s="30"/>
      <c r="FQ159" s="30"/>
      <c r="FR159" s="30"/>
      <c r="FS159" s="87">
        <v>1.0</v>
      </c>
      <c r="FT159" s="30"/>
      <c r="FU159" s="30"/>
      <c r="FV159" s="30"/>
      <c r="FW159" s="87">
        <v>1.0</v>
      </c>
      <c r="FX159" s="30"/>
      <c r="FY159" s="30"/>
      <c r="FZ159" s="30"/>
      <c r="GA159" s="30"/>
      <c r="GB159" s="30"/>
      <c r="GC159" s="30"/>
      <c r="GD159" s="30"/>
      <c r="GE159" s="30"/>
      <c r="GF159" s="30"/>
      <c r="GG159" s="30"/>
      <c r="GH159" s="30"/>
      <c r="GI159" s="30"/>
      <c r="GJ159" s="30"/>
      <c r="GK159" s="30"/>
      <c r="GL159" s="30"/>
      <c r="GM159" s="30"/>
      <c r="GN159" s="30"/>
      <c r="GO159" s="30"/>
      <c r="GP159" s="30"/>
      <c r="GQ159" s="30"/>
      <c r="GR159" s="30"/>
      <c r="GS159" s="30"/>
      <c r="GT159" s="30"/>
      <c r="GU159" s="30"/>
      <c r="GV159" s="30"/>
      <c r="GW159" s="30"/>
      <c r="GX159" s="30"/>
      <c r="GY159" s="30"/>
      <c r="GZ159" s="30"/>
      <c r="HA159" s="30"/>
      <c r="HB159" s="30"/>
      <c r="HC159" s="30"/>
      <c r="HD159" s="30"/>
      <c r="HE159" s="30"/>
    </row>
    <row r="160">
      <c r="A160" s="9" t="s">
        <v>320</v>
      </c>
      <c r="B160" s="9">
        <v>0.065</v>
      </c>
      <c r="C160" s="111">
        <v>13.0</v>
      </c>
      <c r="D160" s="87">
        <v>1.0</v>
      </c>
      <c r="E160" s="30"/>
      <c r="F160" s="30"/>
      <c r="G160" s="30"/>
      <c r="H160" s="30"/>
      <c r="I160" s="30"/>
      <c r="J160" s="30"/>
      <c r="K160" s="30"/>
      <c r="L160" s="30"/>
      <c r="M160" s="30"/>
      <c r="N160" s="30"/>
      <c r="O160" s="30"/>
      <c r="P160" s="30"/>
      <c r="Q160" s="30"/>
      <c r="R160" s="30"/>
      <c r="S160" s="30"/>
      <c r="T160" s="30"/>
      <c r="U160" s="30"/>
      <c r="V160" s="30"/>
      <c r="W160" s="30"/>
      <c r="X160" s="30"/>
      <c r="Y160" s="87">
        <v>1.0</v>
      </c>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87">
        <v>1.0</v>
      </c>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87">
        <v>1.0</v>
      </c>
      <c r="CF160" s="30"/>
      <c r="CG160" s="30"/>
      <c r="CH160" s="30"/>
      <c r="CI160" s="30"/>
      <c r="CJ160" s="30"/>
      <c r="CK160" s="30"/>
      <c r="CL160" s="30"/>
      <c r="CM160" s="30"/>
      <c r="CN160" s="30"/>
      <c r="CO160" s="30"/>
      <c r="CP160" s="30"/>
      <c r="CQ160" s="30"/>
      <c r="CR160" s="30"/>
      <c r="CS160" s="30"/>
      <c r="CT160" s="30"/>
      <c r="CU160" s="87">
        <v>1.0</v>
      </c>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87">
        <v>1.0</v>
      </c>
      <c r="EA160" s="30"/>
      <c r="EB160" s="30"/>
      <c r="EC160" s="30"/>
      <c r="ED160" s="87">
        <v>1.0</v>
      </c>
      <c r="EE160" s="30"/>
      <c r="EF160" s="30"/>
      <c r="EG160" s="30"/>
      <c r="EH160" s="30"/>
      <c r="EI160" s="30"/>
      <c r="EJ160" s="30"/>
      <c r="EK160" s="30"/>
      <c r="EL160" s="30"/>
      <c r="EM160" s="30"/>
      <c r="EN160" s="30"/>
      <c r="EO160" s="30"/>
      <c r="EP160" s="30"/>
      <c r="EQ160" s="87">
        <v>1.0</v>
      </c>
      <c r="ER160" s="30"/>
      <c r="ES160" s="30"/>
      <c r="ET160" s="30"/>
      <c r="EU160" s="30"/>
      <c r="EV160" s="30"/>
      <c r="EW160" s="30"/>
      <c r="EX160" s="30"/>
      <c r="EY160" s="30"/>
      <c r="EZ160" s="30"/>
      <c r="FA160" s="30"/>
      <c r="FB160" s="30"/>
      <c r="FC160" s="30"/>
      <c r="FD160" s="30"/>
      <c r="FE160" s="30"/>
      <c r="FF160" s="30"/>
      <c r="FG160" s="30"/>
      <c r="FH160" s="30"/>
      <c r="FI160" s="30"/>
      <c r="FJ160" s="30"/>
      <c r="FK160" s="30"/>
      <c r="FL160" s="30"/>
      <c r="FM160" s="30"/>
      <c r="FN160" s="30"/>
      <c r="FO160" s="30"/>
      <c r="FP160" s="30"/>
      <c r="FQ160" s="87">
        <v>1.0</v>
      </c>
      <c r="FR160" s="30"/>
      <c r="FS160" s="87">
        <v>1.0</v>
      </c>
      <c r="FT160" s="30"/>
      <c r="FU160" s="30"/>
      <c r="FV160" s="30"/>
      <c r="FW160" s="30"/>
      <c r="FX160" s="87">
        <v>1.0</v>
      </c>
      <c r="FY160" s="30"/>
      <c r="FZ160" s="30"/>
      <c r="GA160" s="30"/>
      <c r="GB160" s="30"/>
      <c r="GC160" s="87">
        <v>2.0</v>
      </c>
      <c r="GD160" s="30"/>
      <c r="GE160" s="30"/>
      <c r="GF160" s="30"/>
      <c r="GG160" s="30"/>
      <c r="GH160" s="30"/>
      <c r="GI160" s="30"/>
      <c r="GJ160" s="30"/>
      <c r="GK160" s="30"/>
      <c r="GL160" s="30"/>
      <c r="GM160" s="30"/>
      <c r="GN160" s="30"/>
      <c r="GO160" s="30"/>
      <c r="GP160" s="30"/>
      <c r="GQ160" s="30"/>
      <c r="GR160" s="30"/>
      <c r="GS160" s="30"/>
      <c r="GT160" s="30"/>
      <c r="GU160" s="30"/>
      <c r="GV160" s="30"/>
      <c r="GW160" s="30"/>
      <c r="GX160" s="30"/>
      <c r="GY160" s="30"/>
      <c r="GZ160" s="30"/>
      <c r="HA160" s="30"/>
      <c r="HB160" s="30"/>
      <c r="HC160" s="30"/>
      <c r="HD160" s="30"/>
      <c r="HE160" s="30"/>
    </row>
    <row r="161">
      <c r="A161" s="9" t="s">
        <v>321</v>
      </c>
      <c r="B161" s="9">
        <v>0.095</v>
      </c>
      <c r="C161" s="111">
        <v>19.0</v>
      </c>
      <c r="D161" s="30"/>
      <c r="E161" s="30"/>
      <c r="F161" s="30"/>
      <c r="G161" s="30"/>
      <c r="H161" s="87">
        <v>1.0</v>
      </c>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87">
        <v>1.0</v>
      </c>
      <c r="AP161" s="87">
        <v>1.0</v>
      </c>
      <c r="AQ161" s="87">
        <v>3.0</v>
      </c>
      <c r="AR161" s="30"/>
      <c r="AS161" s="30"/>
      <c r="AT161" s="87">
        <v>1.0</v>
      </c>
      <c r="AU161" s="87">
        <v>1.0</v>
      </c>
      <c r="AV161" s="30"/>
      <c r="AW161" s="30"/>
      <c r="AX161" s="30"/>
      <c r="AY161" s="30"/>
      <c r="AZ161" s="30"/>
      <c r="BA161" s="30"/>
      <c r="BB161" s="30"/>
      <c r="BC161" s="30"/>
      <c r="BD161" s="30"/>
      <c r="BE161" s="30"/>
      <c r="BF161" s="30"/>
      <c r="BG161" s="30"/>
      <c r="BH161" s="87">
        <v>1.0</v>
      </c>
      <c r="BI161" s="30"/>
      <c r="BJ161" s="30"/>
      <c r="BK161" s="30"/>
      <c r="BL161" s="30"/>
      <c r="BM161" s="30"/>
      <c r="BN161" s="30"/>
      <c r="BO161" s="30"/>
      <c r="BP161" s="30"/>
      <c r="BQ161" s="30"/>
      <c r="BR161" s="30"/>
      <c r="BS161" s="30"/>
      <c r="BT161" s="87">
        <v>1.0</v>
      </c>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87">
        <v>1.0</v>
      </c>
      <c r="CX161" s="30"/>
      <c r="CY161" s="30"/>
      <c r="CZ161" s="30"/>
      <c r="DA161" s="30"/>
      <c r="DB161" s="30"/>
      <c r="DC161" s="30"/>
      <c r="DD161" s="30"/>
      <c r="DE161" s="30"/>
      <c r="DF161" s="30"/>
      <c r="DG161" s="30"/>
      <c r="DH161" s="30"/>
      <c r="DI161" s="30"/>
      <c r="DJ161" s="30"/>
      <c r="DK161" s="30"/>
      <c r="DL161" s="30"/>
      <c r="DM161" s="30"/>
      <c r="DN161" s="87">
        <v>1.0</v>
      </c>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0"/>
      <c r="EQ161" s="87">
        <v>1.0</v>
      </c>
      <c r="ER161" s="30"/>
      <c r="ES161" s="30"/>
      <c r="ET161" s="30"/>
      <c r="EU161" s="30"/>
      <c r="EV161" s="30"/>
      <c r="EW161" s="30"/>
      <c r="EX161" s="30"/>
      <c r="EY161" s="30"/>
      <c r="EZ161" s="30"/>
      <c r="FA161" s="30"/>
      <c r="FB161" s="30"/>
      <c r="FC161" s="30"/>
      <c r="FD161" s="30"/>
      <c r="FE161" s="30"/>
      <c r="FF161" s="30"/>
      <c r="FG161" s="30"/>
      <c r="FH161" s="30"/>
      <c r="FI161" s="30"/>
      <c r="FJ161" s="30"/>
      <c r="FK161" s="87">
        <v>1.0</v>
      </c>
      <c r="FL161" s="30"/>
      <c r="FM161" s="30"/>
      <c r="FN161" s="30"/>
      <c r="FO161" s="30"/>
      <c r="FP161" s="30"/>
      <c r="FQ161" s="30"/>
      <c r="FR161" s="30"/>
      <c r="FS161" s="87">
        <v>1.0</v>
      </c>
      <c r="FT161" s="30"/>
      <c r="FU161" s="87">
        <v>1.0</v>
      </c>
      <c r="FV161" s="30"/>
      <c r="FW161" s="30"/>
      <c r="FX161" s="87">
        <v>1.0</v>
      </c>
      <c r="FY161" s="30"/>
      <c r="FZ161" s="30"/>
      <c r="GA161" s="30"/>
      <c r="GB161" s="30"/>
      <c r="GC161" s="87">
        <v>1.0</v>
      </c>
      <c r="GD161" s="87">
        <v>1.0</v>
      </c>
      <c r="GE161" s="30"/>
      <c r="GF161" s="30"/>
      <c r="GG161" s="30"/>
      <c r="GH161" s="30"/>
      <c r="GI161" s="30"/>
      <c r="GJ161" s="30"/>
      <c r="GK161" s="30"/>
      <c r="GL161" s="30"/>
      <c r="GM161" s="30"/>
      <c r="GN161" s="30"/>
      <c r="GO161" s="30"/>
      <c r="GP161" s="30"/>
      <c r="GQ161" s="30"/>
      <c r="GR161" s="30"/>
      <c r="GS161" s="30"/>
      <c r="GT161" s="30"/>
      <c r="GU161" s="30"/>
      <c r="GV161" s="30"/>
      <c r="GW161" s="30"/>
      <c r="GX161" s="30"/>
      <c r="GY161" s="30"/>
      <c r="GZ161" s="30"/>
      <c r="HA161" s="30"/>
      <c r="HB161" s="30"/>
      <c r="HC161" s="30"/>
      <c r="HD161" s="30"/>
      <c r="HE161" s="30"/>
    </row>
    <row r="162">
      <c r="A162" s="9" t="s">
        <v>322</v>
      </c>
      <c r="B162" s="9">
        <v>0.18</v>
      </c>
      <c r="C162" s="111">
        <v>36.0</v>
      </c>
      <c r="D162" s="30"/>
      <c r="E162" s="30"/>
      <c r="F162" s="30"/>
      <c r="G162" s="30"/>
      <c r="H162" s="30"/>
      <c r="I162" s="30"/>
      <c r="J162" s="30"/>
      <c r="K162" s="30"/>
      <c r="L162" s="30"/>
      <c r="M162" s="30"/>
      <c r="N162" s="30"/>
      <c r="O162" s="30"/>
      <c r="P162" s="30"/>
      <c r="Q162" s="87">
        <v>1.0</v>
      </c>
      <c r="R162" s="87">
        <v>1.0</v>
      </c>
      <c r="S162" s="30"/>
      <c r="T162" s="30"/>
      <c r="U162" s="87">
        <v>2.0</v>
      </c>
      <c r="V162" s="30"/>
      <c r="W162" s="30"/>
      <c r="X162" s="30"/>
      <c r="Y162" s="87">
        <v>1.0</v>
      </c>
      <c r="Z162" s="30"/>
      <c r="AA162" s="87">
        <v>1.0</v>
      </c>
      <c r="AB162" s="30"/>
      <c r="AC162" s="30"/>
      <c r="AD162" s="30"/>
      <c r="AE162" s="87">
        <v>2.0</v>
      </c>
      <c r="AF162" s="30"/>
      <c r="AG162" s="30"/>
      <c r="AH162" s="30"/>
      <c r="AI162" s="30"/>
      <c r="AJ162" s="30"/>
      <c r="AK162" s="30"/>
      <c r="AL162" s="30"/>
      <c r="AM162" s="30"/>
      <c r="AN162" s="30"/>
      <c r="AO162" s="30"/>
      <c r="AP162" s="30"/>
      <c r="AQ162" s="30"/>
      <c r="AR162" s="30"/>
      <c r="AS162" s="30"/>
      <c r="AT162" s="30"/>
      <c r="AU162" s="87">
        <v>1.0</v>
      </c>
      <c r="AV162" s="30"/>
      <c r="AW162" s="30"/>
      <c r="AX162" s="30"/>
      <c r="AY162" s="30"/>
      <c r="AZ162" s="30"/>
      <c r="BA162" s="30"/>
      <c r="BB162" s="30"/>
      <c r="BC162" s="30"/>
      <c r="BD162" s="30"/>
      <c r="BE162" s="30"/>
      <c r="BF162" s="30"/>
      <c r="BG162" s="30"/>
      <c r="BH162" s="30"/>
      <c r="BI162" s="30"/>
      <c r="BJ162" s="30"/>
      <c r="BK162" s="30"/>
      <c r="BL162" s="30"/>
      <c r="BM162" s="87">
        <v>1.0</v>
      </c>
      <c r="BN162" s="30"/>
      <c r="BO162" s="30"/>
      <c r="BP162" s="30"/>
      <c r="BQ162" s="30"/>
      <c r="BR162" s="30"/>
      <c r="BS162" s="30"/>
      <c r="BT162" s="87">
        <v>1.0</v>
      </c>
      <c r="BU162" s="87">
        <v>1.0</v>
      </c>
      <c r="BV162" s="30"/>
      <c r="BW162" s="87">
        <v>1.0</v>
      </c>
      <c r="BX162" s="30"/>
      <c r="BY162" s="30"/>
      <c r="BZ162" s="30"/>
      <c r="CA162" s="30"/>
      <c r="CB162" s="30"/>
      <c r="CC162" s="30"/>
      <c r="CD162" s="87">
        <v>1.0</v>
      </c>
      <c r="CE162" s="87">
        <v>2.0</v>
      </c>
      <c r="CF162" s="30"/>
      <c r="CG162" s="30"/>
      <c r="CH162" s="30"/>
      <c r="CI162" s="30"/>
      <c r="CJ162" s="30"/>
      <c r="CK162" s="30"/>
      <c r="CL162" s="30"/>
      <c r="CM162" s="30"/>
      <c r="CN162" s="30"/>
      <c r="CO162" s="30"/>
      <c r="CP162" s="30"/>
      <c r="CQ162" s="30"/>
      <c r="CR162" s="30"/>
      <c r="CS162" s="30"/>
      <c r="CT162" s="30"/>
      <c r="CU162" s="87">
        <v>1.0</v>
      </c>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87">
        <v>2.0</v>
      </c>
      <c r="EA162" s="30"/>
      <c r="EB162" s="30"/>
      <c r="EC162" s="30"/>
      <c r="ED162" s="87">
        <v>2.0</v>
      </c>
      <c r="EE162" s="30"/>
      <c r="EF162" s="87">
        <v>1.0</v>
      </c>
      <c r="EG162" s="30"/>
      <c r="EH162" s="30"/>
      <c r="EI162" s="30"/>
      <c r="EJ162" s="30"/>
      <c r="EK162" s="30"/>
      <c r="EL162" s="30"/>
      <c r="EM162" s="30"/>
      <c r="EN162" s="30"/>
      <c r="EO162" s="30"/>
      <c r="EP162" s="87">
        <v>1.0</v>
      </c>
      <c r="EQ162" s="87">
        <v>1.0</v>
      </c>
      <c r="ER162" s="87">
        <v>1.0</v>
      </c>
      <c r="ES162" s="30"/>
      <c r="ET162" s="87">
        <v>1.0</v>
      </c>
      <c r="EU162" s="30"/>
      <c r="EV162" s="30"/>
      <c r="EW162" s="30"/>
      <c r="EX162" s="30"/>
      <c r="EY162" s="30"/>
      <c r="EZ162" s="30"/>
      <c r="FA162" s="30"/>
      <c r="FB162" s="30"/>
      <c r="FC162" s="30"/>
      <c r="FD162" s="30"/>
      <c r="FE162" s="30"/>
      <c r="FF162" s="30"/>
      <c r="FG162" s="30"/>
      <c r="FH162" s="30"/>
      <c r="FI162" s="30"/>
      <c r="FJ162" s="30"/>
      <c r="FK162" s="30"/>
      <c r="FL162" s="30"/>
      <c r="FM162" s="30"/>
      <c r="FN162" s="30"/>
      <c r="FO162" s="30"/>
      <c r="FP162" s="30"/>
      <c r="FQ162" s="30"/>
      <c r="FR162" s="30"/>
      <c r="FS162" s="30"/>
      <c r="FT162" s="30"/>
      <c r="FU162" s="87">
        <v>1.0</v>
      </c>
      <c r="FV162" s="30"/>
      <c r="FW162" s="87">
        <v>1.0</v>
      </c>
      <c r="FX162" s="87">
        <v>1.0</v>
      </c>
      <c r="FY162" s="87">
        <v>1.0</v>
      </c>
      <c r="FZ162" s="30"/>
      <c r="GA162" s="30"/>
      <c r="GB162" s="30"/>
      <c r="GC162" s="30"/>
      <c r="GD162" s="87">
        <v>2.0</v>
      </c>
      <c r="GE162" s="30"/>
      <c r="GF162" s="30"/>
      <c r="GG162" s="30"/>
      <c r="GH162" s="30"/>
      <c r="GI162" s="87">
        <v>1.0</v>
      </c>
      <c r="GJ162" s="30"/>
      <c r="GK162" s="87">
        <v>1.0</v>
      </c>
      <c r="GL162" s="30"/>
      <c r="GM162" s="30"/>
      <c r="GN162" s="30"/>
      <c r="GO162" s="30"/>
      <c r="GP162" s="30"/>
      <c r="GQ162" s="87">
        <v>2.0</v>
      </c>
      <c r="GR162" s="30"/>
      <c r="GS162" s="30"/>
      <c r="GT162" s="30"/>
      <c r="GU162" s="30"/>
      <c r="GV162" s="30"/>
      <c r="GW162" s="30"/>
      <c r="GX162" s="30"/>
      <c r="GY162" s="30"/>
      <c r="GZ162" s="30"/>
      <c r="HA162" s="30"/>
      <c r="HB162" s="30"/>
      <c r="HC162" s="30"/>
      <c r="HD162" s="30"/>
      <c r="HE162" s="30"/>
    </row>
    <row r="163">
      <c r="A163" s="110" t="s">
        <v>323</v>
      </c>
      <c r="B163" s="9">
        <v>0.015</v>
      </c>
      <c r="C163" s="111">
        <v>3.0</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87">
        <v>1.0</v>
      </c>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30"/>
      <c r="EO163" s="30"/>
      <c r="EP163" s="30"/>
      <c r="EQ163" s="30"/>
      <c r="ER163" s="30"/>
      <c r="ES163" s="30"/>
      <c r="ET163" s="30"/>
      <c r="EU163" s="30"/>
      <c r="EV163" s="30"/>
      <c r="EW163" s="30"/>
      <c r="EX163" s="30"/>
      <c r="EY163" s="30"/>
      <c r="EZ163" s="30"/>
      <c r="FA163" s="30"/>
      <c r="FB163" s="30"/>
      <c r="FC163" s="30"/>
      <c r="FD163" s="30"/>
      <c r="FE163" s="30"/>
      <c r="FF163" s="30"/>
      <c r="FG163" s="30"/>
      <c r="FH163" s="30"/>
      <c r="FI163" s="30"/>
      <c r="FJ163" s="30"/>
      <c r="FK163" s="30"/>
      <c r="FL163" s="30"/>
      <c r="FM163" s="30"/>
      <c r="FN163" s="30"/>
      <c r="FO163" s="30"/>
      <c r="FP163" s="30"/>
      <c r="FQ163" s="30"/>
      <c r="FR163" s="30"/>
      <c r="FS163" s="30"/>
      <c r="FT163" s="30"/>
      <c r="FU163" s="30"/>
      <c r="FV163" s="30"/>
      <c r="FW163" s="30"/>
      <c r="FX163" s="30"/>
      <c r="FY163" s="30"/>
      <c r="FZ163" s="87">
        <v>1.0</v>
      </c>
      <c r="GA163" s="30"/>
      <c r="GB163" s="30"/>
      <c r="GC163" s="30"/>
      <c r="GD163" s="30"/>
      <c r="GE163" s="30"/>
      <c r="GF163" s="30"/>
      <c r="GG163" s="30"/>
      <c r="GH163" s="87">
        <v>1.0</v>
      </c>
      <c r="GI163" s="30"/>
      <c r="GJ163" s="30"/>
      <c r="GK163" s="30"/>
      <c r="GL163" s="30"/>
      <c r="GM163" s="30"/>
      <c r="GN163" s="30"/>
      <c r="GO163" s="30"/>
      <c r="GP163" s="30"/>
      <c r="GQ163" s="30"/>
      <c r="GR163" s="30"/>
      <c r="GS163" s="30"/>
      <c r="GT163" s="30"/>
      <c r="GU163" s="30"/>
      <c r="GV163" s="30"/>
      <c r="GW163" s="30"/>
      <c r="GX163" s="30"/>
      <c r="GY163" s="30"/>
      <c r="GZ163" s="30"/>
      <c r="HA163" s="30"/>
      <c r="HB163" s="30"/>
      <c r="HC163" s="30"/>
      <c r="HD163" s="30"/>
      <c r="HE163" s="30"/>
    </row>
    <row r="164">
      <c r="A164" s="9" t="s">
        <v>324</v>
      </c>
      <c r="B164" s="9">
        <v>0.055</v>
      </c>
      <c r="C164" s="111">
        <v>11.0</v>
      </c>
      <c r="D164" s="30"/>
      <c r="E164" s="30"/>
      <c r="F164" s="30"/>
      <c r="G164" s="30"/>
      <c r="H164" s="30"/>
      <c r="I164" s="30"/>
      <c r="J164" s="30"/>
      <c r="K164" s="30"/>
      <c r="L164" s="30"/>
      <c r="M164" s="30"/>
      <c r="N164" s="30"/>
      <c r="O164" s="87">
        <v>2.0</v>
      </c>
      <c r="P164" s="30"/>
      <c r="Q164" s="30"/>
      <c r="R164" s="30"/>
      <c r="S164" s="30"/>
      <c r="T164" s="30"/>
      <c r="U164" s="30"/>
      <c r="V164" s="30"/>
      <c r="W164" s="30"/>
      <c r="X164" s="30"/>
      <c r="Y164" s="87">
        <v>1.0</v>
      </c>
      <c r="Z164" s="30"/>
      <c r="AA164" s="30"/>
      <c r="AB164" s="30"/>
      <c r="AC164" s="30"/>
      <c r="AD164" s="30"/>
      <c r="AE164" s="30"/>
      <c r="AF164" s="30"/>
      <c r="AG164" s="30"/>
      <c r="AH164" s="30"/>
      <c r="AI164" s="30"/>
      <c r="AJ164" s="30"/>
      <c r="AK164" s="30"/>
      <c r="AL164" s="30"/>
      <c r="AM164" s="30"/>
      <c r="AN164" s="30"/>
      <c r="AO164" s="30"/>
      <c r="AP164" s="87">
        <v>1.0</v>
      </c>
      <c r="AQ164" s="30"/>
      <c r="AR164" s="30"/>
      <c r="AS164" s="30"/>
      <c r="AT164" s="30"/>
      <c r="AU164" s="30"/>
      <c r="AV164" s="30"/>
      <c r="AW164" s="30"/>
      <c r="AX164" s="30"/>
      <c r="AY164" s="30"/>
      <c r="AZ164" s="30"/>
      <c r="BA164" s="30"/>
      <c r="BB164" s="30"/>
      <c r="BC164" s="30"/>
      <c r="BD164" s="30"/>
      <c r="BE164" s="87">
        <v>1.0</v>
      </c>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87">
        <v>1.0</v>
      </c>
      <c r="DI164" s="30"/>
      <c r="DJ164" s="30"/>
      <c r="DK164" s="30"/>
      <c r="DL164" s="87">
        <v>1.0</v>
      </c>
      <c r="DM164" s="30"/>
      <c r="DN164" s="30"/>
      <c r="DO164" s="87">
        <v>1.0</v>
      </c>
      <c r="DP164" s="30"/>
      <c r="DQ164" s="30"/>
      <c r="DR164" s="30"/>
      <c r="DS164" s="30"/>
      <c r="DT164" s="30"/>
      <c r="DU164" s="30"/>
      <c r="DV164" s="30"/>
      <c r="DW164" s="30"/>
      <c r="DX164" s="30"/>
      <c r="DY164" s="30"/>
      <c r="DZ164" s="30"/>
      <c r="EA164" s="30"/>
      <c r="EB164" s="30"/>
      <c r="EC164" s="30"/>
      <c r="ED164" s="30"/>
      <c r="EE164" s="30"/>
      <c r="EF164" s="30"/>
      <c r="EG164" s="30"/>
      <c r="EH164" s="30"/>
      <c r="EI164" s="30"/>
      <c r="EJ164" s="30"/>
      <c r="EK164" s="30"/>
      <c r="EL164" s="30"/>
      <c r="EM164" s="30"/>
      <c r="EN164" s="30"/>
      <c r="EO164" s="30"/>
      <c r="EP164" s="87">
        <v>2.0</v>
      </c>
      <c r="EQ164" s="30"/>
      <c r="ER164" s="30"/>
      <c r="ES164" s="30"/>
      <c r="ET164" s="30"/>
      <c r="EU164" s="30"/>
      <c r="EV164" s="87">
        <v>1.0</v>
      </c>
      <c r="EW164" s="30"/>
      <c r="EX164" s="30"/>
      <c r="EY164" s="30"/>
      <c r="EZ164" s="30"/>
      <c r="FA164" s="30"/>
      <c r="FB164" s="30"/>
      <c r="FC164" s="30"/>
      <c r="FD164" s="30"/>
      <c r="FE164" s="30"/>
      <c r="FF164" s="30"/>
      <c r="FG164" s="30"/>
      <c r="FH164" s="30"/>
      <c r="FI164" s="30"/>
      <c r="FJ164" s="30"/>
      <c r="FK164" s="30"/>
      <c r="FL164" s="30"/>
      <c r="FM164" s="30"/>
      <c r="FN164" s="30"/>
      <c r="FO164" s="30"/>
      <c r="FP164" s="30"/>
      <c r="FQ164" s="30"/>
      <c r="FR164" s="30"/>
      <c r="FS164" s="30"/>
      <c r="FT164" s="30"/>
      <c r="FU164" s="30"/>
      <c r="FV164" s="30"/>
      <c r="FW164" s="30"/>
      <c r="FX164" s="30"/>
      <c r="FY164" s="30"/>
      <c r="FZ164" s="30"/>
      <c r="GA164" s="30"/>
      <c r="GB164" s="30"/>
      <c r="GC164" s="30"/>
      <c r="GD164" s="30"/>
      <c r="GE164" s="30"/>
      <c r="GF164" s="30"/>
      <c r="GG164" s="30"/>
      <c r="GH164" s="30"/>
      <c r="GI164" s="30"/>
      <c r="GJ164" s="30"/>
      <c r="GK164" s="30"/>
      <c r="GL164" s="30"/>
      <c r="GM164" s="30"/>
      <c r="GN164" s="30"/>
      <c r="GO164" s="30"/>
      <c r="GP164" s="30"/>
      <c r="GQ164" s="30"/>
      <c r="GR164" s="30"/>
      <c r="GS164" s="30"/>
      <c r="GT164" s="30"/>
      <c r="GU164" s="30"/>
      <c r="GV164" s="30"/>
      <c r="GW164" s="30"/>
      <c r="GX164" s="30"/>
      <c r="GY164" s="30"/>
      <c r="GZ164" s="30"/>
      <c r="HA164" s="30"/>
      <c r="HB164" s="30"/>
      <c r="HC164" s="30"/>
      <c r="HD164" s="30"/>
      <c r="HE164" s="30"/>
    </row>
    <row r="165">
      <c r="A165" s="9" t="s">
        <v>325</v>
      </c>
      <c r="B165" s="9">
        <v>0.085</v>
      </c>
      <c r="C165" s="111">
        <v>17.0</v>
      </c>
      <c r="D165" s="30"/>
      <c r="E165" s="30"/>
      <c r="F165" s="30"/>
      <c r="G165" s="30"/>
      <c r="H165" s="30"/>
      <c r="I165" s="87">
        <v>1.0</v>
      </c>
      <c r="J165" s="30"/>
      <c r="K165" s="30"/>
      <c r="L165" s="30"/>
      <c r="M165" s="30"/>
      <c r="N165" s="87">
        <v>1.0</v>
      </c>
      <c r="O165" s="87">
        <v>1.0</v>
      </c>
      <c r="P165" s="30"/>
      <c r="Q165" s="30"/>
      <c r="R165" s="30"/>
      <c r="S165" s="30"/>
      <c r="T165" s="30"/>
      <c r="U165" s="87">
        <v>1.0</v>
      </c>
      <c r="V165" s="30"/>
      <c r="W165" s="30"/>
      <c r="X165" s="30"/>
      <c r="Y165" s="30"/>
      <c r="Z165" s="30"/>
      <c r="AA165" s="30"/>
      <c r="AB165" s="30"/>
      <c r="AC165" s="30"/>
      <c r="AD165" s="30"/>
      <c r="AE165" s="30"/>
      <c r="AF165" s="30"/>
      <c r="AG165" s="30"/>
      <c r="AH165" s="30"/>
      <c r="AI165" s="30"/>
      <c r="AJ165" s="30"/>
      <c r="AK165" s="30"/>
      <c r="AL165" s="30"/>
      <c r="AM165" s="30"/>
      <c r="AN165" s="30"/>
      <c r="AO165" s="30"/>
      <c r="AP165" s="87">
        <v>1.0</v>
      </c>
      <c r="AQ165" s="30"/>
      <c r="AR165" s="87">
        <v>1.0</v>
      </c>
      <c r="AS165" s="30"/>
      <c r="AT165" s="30"/>
      <c r="AU165" s="30"/>
      <c r="AV165" s="30"/>
      <c r="AW165" s="30"/>
      <c r="AX165" s="30"/>
      <c r="AY165" s="30"/>
      <c r="AZ165" s="30"/>
      <c r="BA165" s="30"/>
      <c r="BB165" s="30"/>
      <c r="BC165" s="30"/>
      <c r="BD165" s="87">
        <v>1.0</v>
      </c>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87">
        <v>1.0</v>
      </c>
      <c r="CA165" s="30"/>
      <c r="CB165" s="30"/>
      <c r="CC165" s="30"/>
      <c r="CD165" s="30"/>
      <c r="CE165" s="30"/>
      <c r="CF165" s="30"/>
      <c r="CG165" s="30"/>
      <c r="CH165" s="30"/>
      <c r="CI165" s="30"/>
      <c r="CJ165" s="30"/>
      <c r="CK165" s="30"/>
      <c r="CL165" s="30"/>
      <c r="CM165" s="30"/>
      <c r="CN165" s="30"/>
      <c r="CO165" s="30"/>
      <c r="CP165" s="87">
        <v>1.0</v>
      </c>
      <c r="CQ165" s="30"/>
      <c r="CR165" s="30"/>
      <c r="CS165" s="87">
        <v>1.0</v>
      </c>
      <c r="CT165" s="30"/>
      <c r="CU165" s="30"/>
      <c r="CV165" s="30"/>
      <c r="CW165" s="30"/>
      <c r="CX165" s="30"/>
      <c r="CY165" s="30"/>
      <c r="CZ165" s="30"/>
      <c r="DA165" s="30"/>
      <c r="DB165" s="30"/>
      <c r="DC165" s="30"/>
      <c r="DD165" s="30"/>
      <c r="DE165" s="30"/>
      <c r="DF165" s="87">
        <v>1.0</v>
      </c>
      <c r="DG165" s="30"/>
      <c r="DH165" s="87">
        <v>1.0</v>
      </c>
      <c r="DI165" s="30"/>
      <c r="DJ165" s="30"/>
      <c r="DK165" s="30"/>
      <c r="DL165" s="30"/>
      <c r="DM165" s="30"/>
      <c r="DN165" s="30"/>
      <c r="DO165" s="30"/>
      <c r="DP165" s="30"/>
      <c r="DQ165" s="87">
        <v>1.0</v>
      </c>
      <c r="DR165" s="30"/>
      <c r="DS165" s="30"/>
      <c r="DT165" s="87">
        <v>1.0</v>
      </c>
      <c r="DU165" s="87">
        <v>1.0</v>
      </c>
      <c r="DV165" s="30"/>
      <c r="DW165" s="30"/>
      <c r="DX165" s="87">
        <v>1.0</v>
      </c>
      <c r="DY165" s="30"/>
      <c r="DZ165" s="30"/>
      <c r="EA165" s="30"/>
      <c r="EB165" s="30"/>
      <c r="EC165" s="30"/>
      <c r="ED165" s="30"/>
      <c r="EE165" s="30"/>
      <c r="EF165" s="30"/>
      <c r="EG165" s="30"/>
      <c r="EH165" s="30"/>
      <c r="EI165" s="30"/>
      <c r="EJ165" s="30"/>
      <c r="EK165" s="30"/>
      <c r="EL165" s="30"/>
      <c r="EM165" s="30"/>
      <c r="EN165" s="30"/>
      <c r="EO165" s="30"/>
      <c r="EP165" s="30"/>
      <c r="EQ165" s="30"/>
      <c r="ER165" s="30"/>
      <c r="ES165" s="30"/>
      <c r="ET165" s="30"/>
      <c r="EU165" s="30"/>
      <c r="EV165" s="30"/>
      <c r="EW165" s="30"/>
      <c r="EX165" s="30"/>
      <c r="EY165" s="30"/>
      <c r="EZ165" s="30"/>
      <c r="FA165" s="30"/>
      <c r="FB165" s="30"/>
      <c r="FC165" s="30"/>
      <c r="FD165" s="30"/>
      <c r="FE165" s="30"/>
      <c r="FF165" s="30"/>
      <c r="FG165" s="30"/>
      <c r="FH165" s="30"/>
      <c r="FI165" s="30"/>
      <c r="FJ165" s="30"/>
      <c r="FK165" s="30"/>
      <c r="FL165" s="30"/>
      <c r="FM165" s="30"/>
      <c r="FN165" s="30"/>
      <c r="FO165" s="30"/>
      <c r="FP165" s="30"/>
      <c r="FQ165" s="30"/>
      <c r="FR165" s="30"/>
      <c r="FS165" s="30"/>
      <c r="FT165" s="30"/>
      <c r="FU165" s="87">
        <v>1.0</v>
      </c>
      <c r="FV165" s="30"/>
      <c r="FW165" s="30"/>
      <c r="FX165" s="30"/>
      <c r="FY165" s="30"/>
      <c r="FZ165" s="30"/>
      <c r="GA165" s="30"/>
      <c r="GB165" s="30"/>
      <c r="GC165" s="30"/>
      <c r="GD165" s="30"/>
      <c r="GE165" s="30"/>
      <c r="GF165" s="30"/>
      <c r="GG165" s="30"/>
      <c r="GH165" s="30"/>
      <c r="GI165" s="30"/>
      <c r="GJ165" s="30"/>
      <c r="GK165" s="30"/>
      <c r="GL165" s="30"/>
      <c r="GM165" s="30"/>
      <c r="GN165" s="30"/>
      <c r="GO165" s="30"/>
      <c r="GP165" s="30"/>
      <c r="GQ165" s="30"/>
      <c r="GR165" s="30"/>
      <c r="GS165" s="30"/>
      <c r="GT165" s="30"/>
      <c r="GU165" s="30"/>
      <c r="GV165" s="30"/>
      <c r="GW165" s="30"/>
      <c r="GX165" s="30"/>
      <c r="GY165" s="30"/>
      <c r="GZ165" s="30"/>
      <c r="HA165" s="30"/>
      <c r="HB165" s="30"/>
      <c r="HC165" s="30"/>
      <c r="HD165" s="30"/>
      <c r="HE165" s="30"/>
    </row>
    <row r="166">
      <c r="A166" s="9" t="s">
        <v>326</v>
      </c>
      <c r="B166" s="9">
        <v>0.1</v>
      </c>
      <c r="C166" s="111">
        <v>20.0</v>
      </c>
      <c r="D166" s="30"/>
      <c r="E166" s="30"/>
      <c r="F166" s="30"/>
      <c r="G166" s="30"/>
      <c r="H166" s="30"/>
      <c r="I166" s="30"/>
      <c r="J166" s="30"/>
      <c r="K166" s="30"/>
      <c r="L166" s="30"/>
      <c r="M166" s="30"/>
      <c r="N166" s="87">
        <v>1.0</v>
      </c>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87">
        <v>1.0</v>
      </c>
      <c r="AQ166" s="30"/>
      <c r="AR166" s="30"/>
      <c r="AS166" s="30"/>
      <c r="AT166" s="87">
        <v>1.0</v>
      </c>
      <c r="AU166" s="30"/>
      <c r="AV166" s="30"/>
      <c r="AW166" s="30"/>
      <c r="AX166" s="30"/>
      <c r="AY166" s="30"/>
      <c r="AZ166" s="30"/>
      <c r="BA166" s="30"/>
      <c r="BB166" s="30"/>
      <c r="BC166" s="87">
        <v>1.0</v>
      </c>
      <c r="BD166" s="87">
        <v>1.0</v>
      </c>
      <c r="BE166" s="87">
        <v>2.0</v>
      </c>
      <c r="BF166" s="30"/>
      <c r="BG166" s="30"/>
      <c r="BH166" s="87">
        <v>1.0</v>
      </c>
      <c r="BI166" s="30"/>
      <c r="BJ166" s="87">
        <v>2.0</v>
      </c>
      <c r="BK166" s="30"/>
      <c r="BL166" s="30"/>
      <c r="BM166" s="30"/>
      <c r="BN166" s="30"/>
      <c r="BO166" s="87">
        <v>1.0</v>
      </c>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87">
        <v>1.0</v>
      </c>
      <c r="CL166" s="30"/>
      <c r="CM166" s="30"/>
      <c r="CN166" s="30"/>
      <c r="CO166" s="87">
        <v>1.0</v>
      </c>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87">
        <v>2.0</v>
      </c>
      <c r="DP166" s="30"/>
      <c r="DQ166" s="30"/>
      <c r="DR166" s="87">
        <v>1.0</v>
      </c>
      <c r="DS166" s="30"/>
      <c r="DT166" s="30"/>
      <c r="DU166" s="30"/>
      <c r="DV166" s="30"/>
      <c r="DW166" s="30"/>
      <c r="DX166" s="30"/>
      <c r="DY166" s="30"/>
      <c r="DZ166" s="30"/>
      <c r="EA166" s="30"/>
      <c r="EB166" s="30"/>
      <c r="EC166" s="30"/>
      <c r="ED166" s="30"/>
      <c r="EE166" s="30"/>
      <c r="EF166" s="30"/>
      <c r="EG166" s="30"/>
      <c r="EH166" s="30"/>
      <c r="EI166" s="30"/>
      <c r="EJ166" s="30"/>
      <c r="EK166" s="30"/>
      <c r="EL166" s="30"/>
      <c r="EM166" s="30"/>
      <c r="EN166" s="30"/>
      <c r="EO166" s="30"/>
      <c r="EP166" s="87">
        <v>1.0</v>
      </c>
      <c r="EQ166" s="30"/>
      <c r="ER166" s="30"/>
      <c r="ES166" s="30"/>
      <c r="ET166" s="30"/>
      <c r="EU166" s="30"/>
      <c r="EV166" s="30"/>
      <c r="EW166" s="87">
        <v>1.0</v>
      </c>
      <c r="EX166" s="30"/>
      <c r="EY166" s="30"/>
      <c r="EZ166" s="30"/>
      <c r="FA166" s="30"/>
      <c r="FB166" s="30"/>
      <c r="FC166" s="30"/>
      <c r="FD166" s="30"/>
      <c r="FE166" s="30"/>
      <c r="FF166" s="30"/>
      <c r="FG166" s="30"/>
      <c r="FH166" s="30"/>
      <c r="FI166" s="30"/>
      <c r="FJ166" s="30"/>
      <c r="FK166" s="30"/>
      <c r="FL166" s="30"/>
      <c r="FM166" s="30"/>
      <c r="FN166" s="30"/>
      <c r="FO166" s="30"/>
      <c r="FP166" s="30"/>
      <c r="FQ166" s="30"/>
      <c r="FR166" s="30"/>
      <c r="FS166" s="30"/>
      <c r="FT166" s="30"/>
      <c r="FU166" s="30"/>
      <c r="FV166" s="30"/>
      <c r="FW166" s="30"/>
      <c r="FX166" s="30"/>
      <c r="FY166" s="30"/>
      <c r="FZ166" s="30"/>
      <c r="GA166" s="30"/>
      <c r="GB166" s="87">
        <v>1.0</v>
      </c>
      <c r="GC166" s="30"/>
      <c r="GD166" s="30"/>
      <c r="GE166" s="30"/>
      <c r="GF166" s="30"/>
      <c r="GG166" s="30"/>
      <c r="GH166" s="30"/>
      <c r="GI166" s="30"/>
      <c r="GJ166" s="30"/>
      <c r="GK166" s="30"/>
      <c r="GL166" s="87">
        <v>1.0</v>
      </c>
      <c r="GM166" s="30"/>
      <c r="GN166" s="30"/>
      <c r="GO166" s="30"/>
      <c r="GP166" s="30"/>
      <c r="GQ166" s="30"/>
      <c r="GR166" s="30"/>
      <c r="GS166" s="30"/>
      <c r="GT166" s="30"/>
      <c r="GU166" s="30"/>
      <c r="GV166" s="30"/>
      <c r="GW166" s="30"/>
      <c r="GX166" s="30"/>
      <c r="GY166" s="30"/>
      <c r="GZ166" s="30"/>
      <c r="HA166" s="30"/>
      <c r="HB166" s="30"/>
      <c r="HC166" s="30"/>
      <c r="HD166" s="30"/>
      <c r="HE166" s="30"/>
    </row>
    <row r="167">
      <c r="A167" s="9" t="s">
        <v>327</v>
      </c>
      <c r="B167" s="9">
        <v>0.215</v>
      </c>
      <c r="C167" s="111">
        <v>43.0</v>
      </c>
      <c r="D167" s="30"/>
      <c r="E167" s="30"/>
      <c r="F167" s="30"/>
      <c r="G167" s="30"/>
      <c r="H167" s="30"/>
      <c r="I167" s="30"/>
      <c r="J167" s="30"/>
      <c r="K167" s="87">
        <v>1.0</v>
      </c>
      <c r="L167" s="30"/>
      <c r="M167" s="30"/>
      <c r="N167" s="87">
        <v>1.0</v>
      </c>
      <c r="O167" s="87">
        <v>1.0</v>
      </c>
      <c r="P167" s="87">
        <v>3.0</v>
      </c>
      <c r="Q167" s="30"/>
      <c r="R167" s="30"/>
      <c r="S167" s="30"/>
      <c r="T167" s="30"/>
      <c r="U167" s="87">
        <v>1.0</v>
      </c>
      <c r="V167" s="30"/>
      <c r="W167" s="30"/>
      <c r="X167" s="30"/>
      <c r="Y167" s="30"/>
      <c r="Z167" s="30"/>
      <c r="AA167" s="30"/>
      <c r="AB167" s="30"/>
      <c r="AC167" s="87">
        <v>1.0</v>
      </c>
      <c r="AD167" s="30"/>
      <c r="AE167" s="30"/>
      <c r="AF167" s="30"/>
      <c r="AG167" s="30"/>
      <c r="AH167" s="30"/>
      <c r="AI167" s="30"/>
      <c r="AJ167" s="30"/>
      <c r="AK167" s="30"/>
      <c r="AL167" s="30"/>
      <c r="AM167" s="30"/>
      <c r="AN167" s="87">
        <v>1.0</v>
      </c>
      <c r="AO167" s="30"/>
      <c r="AP167" s="30"/>
      <c r="AQ167" s="30"/>
      <c r="AR167" s="30"/>
      <c r="AS167" s="30"/>
      <c r="AT167" s="30"/>
      <c r="AU167" s="30"/>
      <c r="AV167" s="30"/>
      <c r="AW167" s="30"/>
      <c r="AX167" s="30"/>
      <c r="AY167" s="30"/>
      <c r="AZ167" s="30"/>
      <c r="BA167" s="30"/>
      <c r="BB167" s="87">
        <v>1.0</v>
      </c>
      <c r="BC167" s="30"/>
      <c r="BD167" s="87">
        <v>1.0</v>
      </c>
      <c r="BE167" s="87">
        <v>1.0</v>
      </c>
      <c r="BF167" s="30"/>
      <c r="BG167" s="30"/>
      <c r="BH167" s="30"/>
      <c r="BI167" s="30"/>
      <c r="BJ167" s="87">
        <v>1.0</v>
      </c>
      <c r="BK167" s="30"/>
      <c r="BL167" s="30"/>
      <c r="BM167" s="30"/>
      <c r="BN167" s="87">
        <v>1.0</v>
      </c>
      <c r="BO167" s="30"/>
      <c r="BP167" s="30"/>
      <c r="BQ167" s="30"/>
      <c r="BR167" s="30"/>
      <c r="BS167" s="30"/>
      <c r="BT167" s="30"/>
      <c r="BU167" s="30"/>
      <c r="BV167" s="30"/>
      <c r="BW167" s="30"/>
      <c r="BX167" s="30"/>
      <c r="BY167" s="87">
        <v>1.0</v>
      </c>
      <c r="BZ167" s="30"/>
      <c r="CA167" s="30"/>
      <c r="CB167" s="87">
        <v>2.0</v>
      </c>
      <c r="CC167" s="87">
        <v>1.0</v>
      </c>
      <c r="CD167" s="30"/>
      <c r="CE167" s="30"/>
      <c r="CF167" s="30"/>
      <c r="CG167" s="30"/>
      <c r="CH167" s="30"/>
      <c r="CI167" s="30"/>
      <c r="CJ167" s="30"/>
      <c r="CK167" s="30"/>
      <c r="CL167" s="30"/>
      <c r="CM167" s="30"/>
      <c r="CN167" s="30"/>
      <c r="CO167" s="30"/>
      <c r="CP167" s="87">
        <v>2.0</v>
      </c>
      <c r="CQ167" s="87">
        <v>1.0</v>
      </c>
      <c r="CR167" s="30"/>
      <c r="CS167" s="87">
        <v>2.0</v>
      </c>
      <c r="CT167" s="87">
        <v>1.0</v>
      </c>
      <c r="CU167" s="30"/>
      <c r="CV167" s="30"/>
      <c r="CW167" s="87">
        <v>1.0</v>
      </c>
      <c r="CX167" s="87">
        <v>1.0</v>
      </c>
      <c r="CY167" s="30"/>
      <c r="CZ167" s="30"/>
      <c r="DA167" s="30"/>
      <c r="DB167" s="30"/>
      <c r="DC167" s="30"/>
      <c r="DD167" s="30"/>
      <c r="DE167" s="30"/>
      <c r="DF167" s="87">
        <v>3.0</v>
      </c>
      <c r="DG167" s="30"/>
      <c r="DH167" s="30"/>
      <c r="DI167" s="30"/>
      <c r="DJ167" s="87">
        <v>1.0</v>
      </c>
      <c r="DK167" s="30"/>
      <c r="DL167" s="30"/>
      <c r="DM167" s="30"/>
      <c r="DN167" s="30"/>
      <c r="DO167" s="30"/>
      <c r="DP167" s="30"/>
      <c r="DQ167" s="87">
        <v>2.0</v>
      </c>
      <c r="DR167" s="30"/>
      <c r="DS167" s="30"/>
      <c r="DT167" s="30"/>
      <c r="DU167" s="30"/>
      <c r="DV167" s="30"/>
      <c r="DW167" s="30"/>
      <c r="DX167" s="30"/>
      <c r="DY167" s="30"/>
      <c r="DZ167" s="30"/>
      <c r="EA167" s="87">
        <v>1.0</v>
      </c>
      <c r="EB167" s="87">
        <v>1.0</v>
      </c>
      <c r="EC167" s="30"/>
      <c r="ED167" s="87">
        <v>1.0</v>
      </c>
      <c r="EE167" s="30"/>
      <c r="EF167" s="30"/>
      <c r="EG167" s="30"/>
      <c r="EH167" s="30"/>
      <c r="EI167" s="30"/>
      <c r="EJ167" s="30"/>
      <c r="EK167" s="30"/>
      <c r="EL167" s="87">
        <v>1.0</v>
      </c>
      <c r="EM167" s="30"/>
      <c r="EN167" s="87">
        <v>1.0</v>
      </c>
      <c r="EO167" s="30"/>
      <c r="EP167" s="30"/>
      <c r="EQ167" s="30"/>
      <c r="ER167" s="30"/>
      <c r="ES167" s="30"/>
      <c r="ET167" s="30"/>
      <c r="EU167" s="30"/>
      <c r="EV167" s="30"/>
      <c r="EW167" s="30"/>
      <c r="EX167" s="30"/>
      <c r="EY167" s="87">
        <v>2.0</v>
      </c>
      <c r="EZ167" s="30"/>
      <c r="FA167" s="87">
        <v>1.0</v>
      </c>
      <c r="FB167" s="30"/>
      <c r="FC167" s="30"/>
      <c r="FD167" s="30"/>
      <c r="FE167" s="30"/>
      <c r="FF167" s="30"/>
      <c r="FG167" s="30"/>
      <c r="FH167" s="30"/>
      <c r="FI167" s="30"/>
      <c r="FJ167" s="30"/>
      <c r="FK167" s="87">
        <v>1.0</v>
      </c>
      <c r="FL167" s="30"/>
      <c r="FM167" s="30"/>
      <c r="FN167" s="30"/>
      <c r="FO167" s="30"/>
      <c r="FP167" s="30"/>
      <c r="FQ167" s="30"/>
      <c r="FR167" s="30"/>
      <c r="FS167" s="30"/>
      <c r="FT167" s="30"/>
      <c r="FU167" s="30"/>
      <c r="FV167" s="30"/>
      <c r="FW167" s="30"/>
      <c r="FX167" s="30"/>
      <c r="FY167" s="30"/>
      <c r="FZ167" s="30"/>
      <c r="GA167" s="87">
        <v>1.0</v>
      </c>
      <c r="GB167" s="30"/>
      <c r="GC167" s="30"/>
      <c r="GD167" s="30"/>
      <c r="GE167" s="30"/>
      <c r="GF167" s="30"/>
      <c r="GG167" s="30"/>
      <c r="GH167" s="30"/>
      <c r="GI167" s="30"/>
      <c r="GJ167" s="87">
        <v>1.0</v>
      </c>
      <c r="GK167" s="30"/>
      <c r="GL167" s="30"/>
      <c r="GM167" s="30"/>
      <c r="GN167" s="30"/>
      <c r="GO167" s="30"/>
      <c r="GP167" s="30"/>
      <c r="GQ167" s="30"/>
      <c r="GR167" s="30"/>
      <c r="GS167" s="30"/>
      <c r="GT167" s="30"/>
      <c r="GU167" s="30"/>
      <c r="GV167" s="30"/>
      <c r="GW167" s="30"/>
      <c r="GX167" s="30"/>
      <c r="GY167" s="30"/>
      <c r="GZ167" s="30"/>
      <c r="HA167" s="30"/>
      <c r="HB167" s="30"/>
      <c r="HC167" s="30"/>
      <c r="HD167" s="30"/>
      <c r="HE167" s="30"/>
    </row>
    <row r="168">
      <c r="A168" s="99" t="s">
        <v>328</v>
      </c>
      <c r="B168" s="9">
        <v>0.0</v>
      </c>
      <c r="C168" s="111">
        <v>0.0</v>
      </c>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30"/>
      <c r="EJ168" s="30"/>
      <c r="EK168" s="30"/>
      <c r="EL168" s="30"/>
      <c r="EM168" s="30"/>
      <c r="EN168" s="30"/>
      <c r="EO168" s="30"/>
      <c r="EP168" s="30"/>
      <c r="EQ168" s="30"/>
      <c r="ER168" s="30"/>
      <c r="ES168" s="30"/>
      <c r="ET168" s="30"/>
      <c r="EU168" s="30"/>
      <c r="EV168" s="30"/>
      <c r="EW168" s="30"/>
      <c r="EX168" s="30"/>
      <c r="EY168" s="30"/>
      <c r="EZ168" s="30"/>
      <c r="FA168" s="30"/>
      <c r="FB168" s="30"/>
      <c r="FC168" s="30"/>
      <c r="FD168" s="30"/>
      <c r="FE168" s="30"/>
      <c r="FF168" s="30"/>
      <c r="FG168" s="30"/>
      <c r="FH168" s="30"/>
      <c r="FI168" s="30"/>
      <c r="FJ168" s="30"/>
      <c r="FK168" s="30"/>
      <c r="FL168" s="30"/>
      <c r="FM168" s="30"/>
      <c r="FN168" s="30"/>
      <c r="FO168" s="30"/>
      <c r="FP168" s="30"/>
      <c r="FQ168" s="30"/>
      <c r="FR168" s="30"/>
      <c r="FS168" s="30"/>
      <c r="FT168" s="30"/>
      <c r="FU168" s="30"/>
      <c r="FV168" s="30"/>
      <c r="FW168" s="30"/>
      <c r="FX168" s="30"/>
      <c r="FY168" s="30"/>
      <c r="FZ168" s="30"/>
      <c r="GA168" s="30"/>
      <c r="GB168" s="30"/>
      <c r="GC168" s="30"/>
      <c r="GD168" s="30"/>
      <c r="GE168" s="30"/>
      <c r="GF168" s="30"/>
      <c r="GG168" s="30"/>
      <c r="GH168" s="30"/>
      <c r="GI168" s="30"/>
      <c r="GJ168" s="30"/>
      <c r="GK168" s="30"/>
      <c r="GL168" s="30"/>
      <c r="GM168" s="30"/>
      <c r="GN168" s="30"/>
      <c r="GO168" s="30"/>
      <c r="GP168" s="30"/>
      <c r="GQ168" s="30"/>
      <c r="GR168" s="30"/>
      <c r="GS168" s="30"/>
      <c r="GT168" s="30"/>
      <c r="GU168" s="30"/>
      <c r="GV168" s="30"/>
      <c r="GW168" s="30"/>
      <c r="GX168" s="30"/>
      <c r="GY168" s="30"/>
      <c r="GZ168" s="30"/>
      <c r="HA168" s="30"/>
      <c r="HB168" s="30"/>
      <c r="HC168" s="30"/>
      <c r="HD168" s="30"/>
      <c r="HE168" s="30"/>
    </row>
    <row r="169">
      <c r="A169" s="114" t="s">
        <v>329</v>
      </c>
      <c r="B169" s="9">
        <v>766.9</v>
      </c>
      <c r="C169" s="111">
        <v>153380.0</v>
      </c>
      <c r="D169" s="87">
        <v>906.0</v>
      </c>
      <c r="E169" s="87">
        <v>758.0</v>
      </c>
      <c r="F169" s="87">
        <v>488.0</v>
      </c>
      <c r="G169" s="87">
        <v>746.0</v>
      </c>
      <c r="H169" s="87">
        <v>654.0</v>
      </c>
      <c r="I169" s="87">
        <v>820.0</v>
      </c>
      <c r="J169" s="87">
        <v>776.0</v>
      </c>
      <c r="K169" s="87">
        <v>934.0</v>
      </c>
      <c r="L169" s="87">
        <v>668.0</v>
      </c>
      <c r="M169" s="87">
        <v>630.0</v>
      </c>
      <c r="N169" s="87">
        <v>702.0</v>
      </c>
      <c r="O169" s="87">
        <v>704.0</v>
      </c>
      <c r="P169" s="87">
        <v>782.0</v>
      </c>
      <c r="Q169" s="87">
        <v>744.0</v>
      </c>
      <c r="R169" s="87">
        <v>734.0</v>
      </c>
      <c r="S169" s="87">
        <v>784.0</v>
      </c>
      <c r="T169" s="87">
        <v>736.0</v>
      </c>
      <c r="U169" s="87">
        <v>596.0</v>
      </c>
      <c r="V169" s="87">
        <v>706.0</v>
      </c>
      <c r="W169" s="87">
        <v>866.0</v>
      </c>
      <c r="X169" s="87">
        <v>598.0</v>
      </c>
      <c r="Y169" s="87">
        <v>508.0</v>
      </c>
      <c r="Z169" s="87">
        <v>846.0</v>
      </c>
      <c r="AA169" s="87">
        <v>730.0</v>
      </c>
      <c r="AB169" s="87">
        <v>682.0</v>
      </c>
      <c r="AC169" s="87">
        <v>766.0</v>
      </c>
      <c r="AD169" s="87">
        <v>778.0</v>
      </c>
      <c r="AE169" s="87">
        <v>830.0</v>
      </c>
      <c r="AF169" s="87">
        <v>672.0</v>
      </c>
      <c r="AG169" s="87">
        <v>734.0</v>
      </c>
      <c r="AH169" s="87">
        <v>780.0</v>
      </c>
      <c r="AI169" s="87">
        <v>670.0</v>
      </c>
      <c r="AJ169" s="87">
        <v>814.0</v>
      </c>
      <c r="AK169" s="87">
        <v>856.0</v>
      </c>
      <c r="AL169" s="87">
        <v>816.0</v>
      </c>
      <c r="AM169" s="87">
        <v>660.0</v>
      </c>
      <c r="AN169" s="87">
        <v>788.0</v>
      </c>
      <c r="AO169" s="87">
        <v>806.0</v>
      </c>
      <c r="AP169" s="87">
        <v>786.0</v>
      </c>
      <c r="AQ169" s="87">
        <v>934.0</v>
      </c>
      <c r="AR169" s="87">
        <v>772.0</v>
      </c>
      <c r="AS169" s="87">
        <v>818.0</v>
      </c>
      <c r="AT169" s="87">
        <v>698.0</v>
      </c>
      <c r="AU169" s="87">
        <v>724.0</v>
      </c>
      <c r="AV169" s="87">
        <v>850.0</v>
      </c>
      <c r="AW169" s="87">
        <v>628.0</v>
      </c>
      <c r="AX169" s="87">
        <v>896.0</v>
      </c>
      <c r="AY169" s="87">
        <v>698.0</v>
      </c>
      <c r="AZ169" s="87">
        <v>912.0</v>
      </c>
      <c r="BA169" s="87">
        <v>822.0</v>
      </c>
      <c r="BB169" s="87">
        <v>690.0</v>
      </c>
      <c r="BC169" s="87">
        <v>752.0</v>
      </c>
      <c r="BD169" s="87">
        <v>604.0</v>
      </c>
      <c r="BE169" s="87">
        <v>818.0</v>
      </c>
      <c r="BF169" s="87">
        <v>940.0</v>
      </c>
      <c r="BG169" s="87">
        <v>852.0</v>
      </c>
      <c r="BH169" s="87">
        <v>726.0</v>
      </c>
      <c r="BI169" s="87">
        <v>910.0</v>
      </c>
      <c r="BJ169" s="87">
        <v>734.0</v>
      </c>
      <c r="BK169" s="87">
        <v>972.0</v>
      </c>
      <c r="BL169" s="87">
        <v>814.0</v>
      </c>
      <c r="BM169" s="87">
        <v>654.0</v>
      </c>
      <c r="BN169" s="87">
        <v>724.0</v>
      </c>
      <c r="BO169" s="87">
        <v>730.0</v>
      </c>
      <c r="BP169" s="87">
        <v>798.0</v>
      </c>
      <c r="BQ169" s="87">
        <v>730.0</v>
      </c>
      <c r="BR169" s="87">
        <v>804.0</v>
      </c>
      <c r="BS169" s="87">
        <v>558.0</v>
      </c>
      <c r="BT169" s="87">
        <v>704.0</v>
      </c>
      <c r="BU169" s="87">
        <v>754.0</v>
      </c>
      <c r="BV169" s="87">
        <v>964.0</v>
      </c>
      <c r="BW169" s="87">
        <v>762.0</v>
      </c>
      <c r="BX169" s="87">
        <v>838.0</v>
      </c>
      <c r="BY169" s="87">
        <v>932.0</v>
      </c>
      <c r="BZ169" s="87">
        <v>708.0</v>
      </c>
      <c r="CA169" s="87">
        <v>714.0</v>
      </c>
      <c r="CB169" s="87">
        <v>690.0</v>
      </c>
      <c r="CC169" s="87">
        <v>698.0</v>
      </c>
      <c r="CD169" s="87">
        <v>840.0</v>
      </c>
      <c r="CE169" s="87">
        <v>768.0</v>
      </c>
      <c r="CF169" s="87">
        <v>894.0</v>
      </c>
      <c r="CG169" s="87">
        <v>846.0</v>
      </c>
      <c r="CH169" s="87">
        <v>888.0</v>
      </c>
      <c r="CI169" s="87">
        <v>780.0</v>
      </c>
      <c r="CJ169" s="87">
        <v>832.0</v>
      </c>
      <c r="CK169" s="87">
        <v>854.0</v>
      </c>
      <c r="CL169" s="87">
        <v>684.0</v>
      </c>
      <c r="CM169" s="87">
        <v>864.0</v>
      </c>
      <c r="CN169" s="87">
        <v>892.0</v>
      </c>
      <c r="CO169" s="87">
        <v>680.0</v>
      </c>
      <c r="CP169" s="87">
        <v>854.0</v>
      </c>
      <c r="CQ169" s="87">
        <v>722.0</v>
      </c>
      <c r="CR169" s="87">
        <v>834.0</v>
      </c>
      <c r="CS169" s="87">
        <v>664.0</v>
      </c>
      <c r="CT169" s="87">
        <v>598.0</v>
      </c>
      <c r="CU169" s="87">
        <v>710.0</v>
      </c>
      <c r="CV169" s="87">
        <v>700.0</v>
      </c>
      <c r="CW169" s="87">
        <v>604.0</v>
      </c>
      <c r="CX169" s="87">
        <v>732.0</v>
      </c>
      <c r="CY169" s="87">
        <v>742.0</v>
      </c>
      <c r="CZ169" s="87">
        <v>634.0</v>
      </c>
      <c r="DA169" s="87">
        <v>546.0</v>
      </c>
      <c r="DB169" s="87">
        <v>754.0</v>
      </c>
      <c r="DC169" s="87">
        <v>862.0</v>
      </c>
      <c r="DD169" s="87">
        <v>910.0</v>
      </c>
      <c r="DE169" s="87">
        <v>906.0</v>
      </c>
      <c r="DF169" s="87">
        <v>810.0</v>
      </c>
      <c r="DG169" s="87">
        <v>898.0</v>
      </c>
      <c r="DH169" s="87">
        <v>740.0</v>
      </c>
      <c r="DI169" s="87">
        <v>794.0</v>
      </c>
      <c r="DJ169" s="87">
        <v>904.0</v>
      </c>
      <c r="DK169" s="87">
        <v>766.0</v>
      </c>
      <c r="DL169" s="87">
        <v>842.0</v>
      </c>
      <c r="DM169" s="87">
        <v>934.0</v>
      </c>
      <c r="DN169" s="87">
        <v>804.0</v>
      </c>
      <c r="DO169" s="87">
        <v>634.0</v>
      </c>
      <c r="DP169" s="87">
        <v>678.0</v>
      </c>
      <c r="DQ169" s="87">
        <v>726.0</v>
      </c>
      <c r="DR169" s="87">
        <v>466.0</v>
      </c>
      <c r="DS169" s="87">
        <v>826.0</v>
      </c>
      <c r="DT169" s="87">
        <v>772.0</v>
      </c>
      <c r="DU169" s="87">
        <v>742.0</v>
      </c>
      <c r="DV169" s="87">
        <v>842.0</v>
      </c>
      <c r="DW169" s="87">
        <v>794.0</v>
      </c>
      <c r="DX169" s="87">
        <v>766.0</v>
      </c>
      <c r="DY169" s="87">
        <v>804.0</v>
      </c>
      <c r="DZ169" s="87">
        <v>878.0</v>
      </c>
      <c r="EA169" s="87">
        <v>838.0</v>
      </c>
      <c r="EB169" s="87">
        <v>594.0</v>
      </c>
      <c r="EC169" s="87">
        <v>708.0</v>
      </c>
      <c r="ED169" s="87">
        <v>768.0</v>
      </c>
      <c r="EE169" s="87">
        <v>746.0</v>
      </c>
      <c r="EF169" s="87">
        <v>614.0</v>
      </c>
      <c r="EG169" s="87">
        <v>764.0</v>
      </c>
      <c r="EH169" s="87">
        <v>790.0</v>
      </c>
      <c r="EI169" s="87">
        <v>956.0</v>
      </c>
      <c r="EJ169" s="87">
        <v>660.0</v>
      </c>
      <c r="EK169" s="87">
        <v>720.0</v>
      </c>
      <c r="EL169" s="87">
        <v>570.0</v>
      </c>
      <c r="EM169" s="87">
        <v>688.0</v>
      </c>
      <c r="EN169" s="87">
        <v>704.0</v>
      </c>
      <c r="EO169" s="87">
        <v>704.0</v>
      </c>
      <c r="EP169" s="87">
        <v>800.0</v>
      </c>
      <c r="EQ169" s="87">
        <v>770.0</v>
      </c>
      <c r="ER169" s="87">
        <v>798.0</v>
      </c>
      <c r="ES169" s="87">
        <v>776.0</v>
      </c>
      <c r="ET169" s="87">
        <v>608.0</v>
      </c>
      <c r="EU169" s="87">
        <v>914.0</v>
      </c>
      <c r="EV169" s="87">
        <v>646.0</v>
      </c>
      <c r="EW169" s="87">
        <v>746.0</v>
      </c>
      <c r="EX169" s="87">
        <v>578.0</v>
      </c>
      <c r="EY169" s="87">
        <v>772.0</v>
      </c>
      <c r="EZ169" s="87">
        <v>860.0</v>
      </c>
      <c r="FA169" s="87">
        <v>750.0</v>
      </c>
      <c r="FB169" s="87">
        <v>826.0</v>
      </c>
      <c r="FC169" s="87">
        <v>830.0</v>
      </c>
      <c r="FD169" s="87">
        <v>636.0</v>
      </c>
      <c r="FE169" s="87">
        <v>988.0</v>
      </c>
      <c r="FF169" s="87">
        <v>766.0</v>
      </c>
      <c r="FG169" s="87">
        <v>716.0</v>
      </c>
      <c r="FH169" s="87">
        <v>924.0</v>
      </c>
      <c r="FI169" s="87">
        <v>718.0</v>
      </c>
      <c r="FJ169" s="87">
        <v>860.0</v>
      </c>
      <c r="FK169" s="87">
        <v>740.0</v>
      </c>
      <c r="FL169" s="87">
        <v>738.0</v>
      </c>
      <c r="FM169" s="87">
        <v>780.0</v>
      </c>
      <c r="FN169" s="87">
        <v>898.0</v>
      </c>
      <c r="FO169" s="87">
        <v>756.0</v>
      </c>
      <c r="FP169" s="87">
        <v>816.0</v>
      </c>
      <c r="FQ169" s="87">
        <v>858.0</v>
      </c>
      <c r="FR169" s="87">
        <v>798.0</v>
      </c>
      <c r="FS169" s="87">
        <v>938.0</v>
      </c>
      <c r="FT169" s="87">
        <v>716.0</v>
      </c>
      <c r="FU169" s="87">
        <v>878.0</v>
      </c>
      <c r="FV169" s="87">
        <v>886.0</v>
      </c>
      <c r="FW169" s="87">
        <v>836.0</v>
      </c>
      <c r="FX169" s="87">
        <v>934.0</v>
      </c>
      <c r="FY169" s="87">
        <v>756.0</v>
      </c>
      <c r="FZ169" s="87">
        <v>628.0</v>
      </c>
      <c r="GA169" s="87">
        <v>784.0</v>
      </c>
      <c r="GB169" s="87">
        <v>900.0</v>
      </c>
      <c r="GC169" s="87">
        <v>666.0</v>
      </c>
      <c r="GD169" s="87">
        <v>746.0</v>
      </c>
      <c r="GE169" s="87">
        <v>798.0</v>
      </c>
      <c r="GF169" s="87">
        <v>530.0</v>
      </c>
      <c r="GG169" s="87">
        <v>858.0</v>
      </c>
      <c r="GH169" s="87">
        <v>740.0</v>
      </c>
      <c r="GI169" s="87">
        <v>766.0</v>
      </c>
      <c r="GJ169" s="87">
        <v>642.0</v>
      </c>
      <c r="GK169" s="87">
        <v>786.0</v>
      </c>
      <c r="GL169" s="87">
        <v>774.0</v>
      </c>
      <c r="GM169" s="87">
        <v>750.0</v>
      </c>
      <c r="GN169" s="87">
        <v>900.0</v>
      </c>
      <c r="GO169" s="87">
        <v>676.0</v>
      </c>
      <c r="GP169" s="87">
        <v>992.0</v>
      </c>
      <c r="GQ169" s="87">
        <v>834.0</v>
      </c>
      <c r="GR169" s="87">
        <v>676.0</v>
      </c>
      <c r="GS169" s="87">
        <v>904.0</v>
      </c>
      <c r="GT169" s="87">
        <v>816.0</v>
      </c>
      <c r="GU169" s="87">
        <v>586.0</v>
      </c>
      <c r="GV169" s="87"/>
      <c r="GW169" s="87"/>
      <c r="GX169" s="87"/>
      <c r="GY169" s="87"/>
      <c r="GZ169" s="87"/>
      <c r="HA169" s="87"/>
      <c r="HB169" s="87"/>
      <c r="HC169" s="87"/>
      <c r="HD169" s="87"/>
      <c r="HE169" s="87"/>
    </row>
    <row r="170">
      <c r="A170" s="123" t="s">
        <v>330</v>
      </c>
      <c r="B170" s="55">
        <v>3111.9</v>
      </c>
      <c r="C170" s="111">
        <v>622380.0</v>
      </c>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30"/>
      <c r="EJ170" s="30"/>
      <c r="EK170" s="30"/>
      <c r="EL170" s="30"/>
      <c r="EM170" s="30"/>
      <c r="EN170" s="30"/>
      <c r="EO170" s="30"/>
      <c r="EP170" s="30"/>
      <c r="EQ170" s="30"/>
      <c r="ER170" s="30"/>
      <c r="ES170" s="30"/>
      <c r="ET170" s="30"/>
      <c r="EU170" s="30"/>
      <c r="EV170" s="30"/>
      <c r="EW170" s="30"/>
      <c r="EX170" s="30"/>
      <c r="EY170" s="30"/>
      <c r="EZ170" s="30"/>
      <c r="FA170" s="30"/>
      <c r="FB170" s="30"/>
      <c r="FC170" s="30"/>
      <c r="FD170" s="30"/>
      <c r="FE170" s="30"/>
      <c r="FF170" s="30"/>
      <c r="FG170" s="30"/>
      <c r="FH170" s="30"/>
      <c r="FI170" s="30"/>
      <c r="FJ170" s="30"/>
      <c r="FK170" s="30"/>
      <c r="FL170" s="30"/>
      <c r="FM170" s="30"/>
      <c r="FN170" s="30"/>
      <c r="FO170" s="30"/>
      <c r="FP170" s="30"/>
      <c r="FQ170" s="30"/>
      <c r="FR170" s="30"/>
      <c r="FS170" s="30"/>
      <c r="FT170" s="30"/>
      <c r="FU170" s="30"/>
      <c r="FV170" s="30"/>
      <c r="FW170" s="30"/>
      <c r="FX170" s="30"/>
      <c r="FY170" s="30"/>
      <c r="FZ170" s="30"/>
      <c r="GA170" s="30"/>
      <c r="GB170" s="30"/>
      <c r="GC170" s="30"/>
      <c r="GD170" s="30"/>
      <c r="GE170" s="30"/>
      <c r="GF170" s="30"/>
      <c r="GG170" s="30"/>
      <c r="GH170" s="30"/>
      <c r="GI170" s="30"/>
      <c r="GJ170" s="30"/>
      <c r="GK170" s="30"/>
      <c r="GL170" s="30"/>
      <c r="GM170" s="30"/>
      <c r="GN170" s="30"/>
      <c r="GO170" s="30"/>
      <c r="GP170" s="30"/>
      <c r="GQ170" s="30"/>
      <c r="GR170" s="30"/>
      <c r="GS170" s="30"/>
      <c r="GT170" s="30"/>
      <c r="GU170" s="30"/>
      <c r="GV170" s="30"/>
      <c r="GW170" s="30"/>
      <c r="GX170" s="30"/>
      <c r="GY170" s="30"/>
      <c r="GZ170" s="30"/>
      <c r="HA170" s="30"/>
      <c r="HB170" s="30"/>
      <c r="HC170" s="30"/>
      <c r="HD170" s="30"/>
      <c r="HE170" s="30"/>
    </row>
    <row r="171">
      <c r="A171" s="55" t="s">
        <v>331</v>
      </c>
      <c r="B171" s="55">
        <v>0.0</v>
      </c>
      <c r="C171" s="111">
        <v>0.0</v>
      </c>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30"/>
      <c r="EO171" s="30"/>
      <c r="EP171" s="30"/>
      <c r="EQ171" s="30"/>
      <c r="ER171" s="30"/>
      <c r="ES171" s="30"/>
      <c r="ET171" s="30"/>
      <c r="EU171" s="30"/>
      <c r="EV171" s="30"/>
      <c r="EW171" s="30"/>
      <c r="EX171" s="30"/>
      <c r="EY171" s="30"/>
      <c r="EZ171" s="30"/>
      <c r="FA171" s="30"/>
      <c r="FB171" s="30"/>
      <c r="FC171" s="30"/>
      <c r="FD171" s="30"/>
      <c r="FE171" s="30"/>
      <c r="FF171" s="30"/>
      <c r="FG171" s="30"/>
      <c r="FH171" s="30"/>
      <c r="FI171" s="30"/>
      <c r="FJ171" s="30"/>
      <c r="FK171" s="30"/>
      <c r="FL171" s="30"/>
      <c r="FM171" s="30"/>
      <c r="FN171" s="30"/>
      <c r="FO171" s="30"/>
      <c r="FP171" s="30"/>
      <c r="FQ171" s="30"/>
      <c r="FR171" s="30"/>
      <c r="FS171" s="30"/>
      <c r="FT171" s="30"/>
      <c r="FU171" s="30"/>
      <c r="FV171" s="30"/>
      <c r="FW171" s="30"/>
      <c r="FX171" s="30"/>
      <c r="FY171" s="30"/>
      <c r="FZ171" s="30"/>
      <c r="GA171" s="30"/>
      <c r="GB171" s="30"/>
      <c r="GC171" s="30"/>
      <c r="GD171" s="30"/>
      <c r="GE171" s="30"/>
      <c r="GF171" s="30"/>
      <c r="GG171" s="30"/>
      <c r="GH171" s="30"/>
      <c r="GI171" s="30"/>
      <c r="GJ171" s="30"/>
      <c r="GK171" s="30"/>
      <c r="GL171" s="30"/>
      <c r="GM171" s="30"/>
      <c r="GN171" s="30"/>
      <c r="GO171" s="30"/>
      <c r="GP171" s="30"/>
      <c r="GQ171" s="30"/>
      <c r="GR171" s="30"/>
      <c r="GS171" s="30"/>
      <c r="GT171" s="30"/>
      <c r="GU171" s="30"/>
      <c r="GV171" s="30"/>
      <c r="GW171" s="30"/>
      <c r="GX171" s="30"/>
      <c r="GY171" s="30"/>
      <c r="GZ171" s="30"/>
      <c r="HA171" s="30"/>
      <c r="HB171" s="30"/>
      <c r="HC171" s="30"/>
      <c r="HD171" s="30"/>
      <c r="HE171" s="30"/>
    </row>
    <row r="172">
      <c r="A172" s="96"/>
      <c r="B172" s="96"/>
      <c r="C172" s="105">
        <f>SUM(C173:C232)</f>
        <v>87</v>
      </c>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30"/>
      <c r="EJ172" s="30"/>
      <c r="EK172" s="30"/>
      <c r="EL172" s="30"/>
      <c r="EM172" s="30"/>
      <c r="EN172" s="30"/>
      <c r="EO172" s="30"/>
      <c r="EP172" s="30"/>
      <c r="EQ172" s="30"/>
      <c r="ER172" s="30"/>
      <c r="ES172" s="30"/>
      <c r="ET172" s="30"/>
      <c r="EU172" s="30"/>
      <c r="EV172" s="30"/>
      <c r="EW172" s="30"/>
      <c r="EX172" s="30"/>
      <c r="EY172" s="30"/>
      <c r="EZ172" s="30"/>
      <c r="FA172" s="30"/>
      <c r="FB172" s="30"/>
      <c r="FC172" s="30"/>
      <c r="FD172" s="30"/>
      <c r="FE172" s="30"/>
      <c r="FF172" s="30"/>
      <c r="FG172" s="30"/>
      <c r="FH172" s="30"/>
      <c r="FI172" s="30"/>
      <c r="FJ172" s="30"/>
      <c r="FK172" s="30"/>
      <c r="FL172" s="30"/>
      <c r="FM172" s="30"/>
      <c r="FN172" s="30"/>
      <c r="FO172" s="30"/>
      <c r="FP172" s="30"/>
      <c r="FQ172" s="30"/>
      <c r="FR172" s="30"/>
      <c r="FS172" s="30"/>
      <c r="FT172" s="30"/>
      <c r="FU172" s="30"/>
      <c r="FV172" s="30"/>
      <c r="FW172" s="30"/>
      <c r="FX172" s="30"/>
      <c r="FY172" s="30"/>
      <c r="FZ172" s="30"/>
      <c r="GA172" s="30"/>
      <c r="GB172" s="30"/>
      <c r="GC172" s="30"/>
      <c r="GD172" s="30"/>
      <c r="GE172" s="30"/>
      <c r="GF172" s="30"/>
      <c r="GG172" s="30"/>
      <c r="GH172" s="30"/>
      <c r="GI172" s="30"/>
      <c r="GJ172" s="30"/>
      <c r="GK172" s="30"/>
      <c r="GL172" s="30"/>
      <c r="GM172" s="30"/>
      <c r="GN172" s="30"/>
      <c r="GO172" s="30"/>
      <c r="GP172" s="30"/>
      <c r="GQ172" s="30"/>
      <c r="GR172" s="30"/>
      <c r="GS172" s="30"/>
      <c r="GT172" s="30"/>
      <c r="GU172" s="30"/>
      <c r="GV172" s="30"/>
      <c r="GW172" s="30"/>
      <c r="GX172" s="30"/>
      <c r="GY172" s="30"/>
      <c r="GZ172" s="30"/>
      <c r="HA172" s="30"/>
      <c r="HB172" s="30"/>
      <c r="HC172" s="30"/>
      <c r="HD172" s="30"/>
      <c r="HE172" s="30"/>
    </row>
    <row r="173">
      <c r="A173" s="9" t="s">
        <v>81</v>
      </c>
      <c r="B173" s="124">
        <f t="shared" ref="B173:B232" si="12">C173/C$172</f>
        <v>0.02298850575</v>
      </c>
      <c r="C173" s="111">
        <f t="shared" ref="C173:C232" si="13">COUNTA(D173:AFC173)</f>
        <v>2</v>
      </c>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87">
        <v>2.0</v>
      </c>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30"/>
      <c r="EO173" s="30"/>
      <c r="EP173" s="30"/>
      <c r="EQ173" s="87">
        <v>1.0</v>
      </c>
      <c r="ER173" s="30"/>
      <c r="ES173" s="30"/>
      <c r="ET173" s="30"/>
      <c r="EU173" s="30"/>
      <c r="EV173" s="30"/>
      <c r="EW173" s="30"/>
      <c r="EX173" s="30"/>
      <c r="EY173" s="30"/>
      <c r="EZ173" s="30"/>
      <c r="FA173" s="30"/>
      <c r="FB173" s="30"/>
      <c r="FC173" s="30"/>
      <c r="FD173" s="30"/>
      <c r="FE173" s="30"/>
      <c r="FF173" s="30"/>
      <c r="FG173" s="30"/>
      <c r="FH173" s="30"/>
      <c r="FI173" s="30"/>
      <c r="FJ173" s="30"/>
      <c r="FK173" s="30"/>
      <c r="FL173" s="30"/>
      <c r="FM173" s="30"/>
      <c r="FN173" s="30"/>
      <c r="FO173" s="30"/>
      <c r="FP173" s="30"/>
      <c r="FQ173" s="30"/>
      <c r="FR173" s="30"/>
      <c r="FS173" s="30"/>
      <c r="FT173" s="30"/>
      <c r="FU173" s="30"/>
      <c r="FV173" s="30"/>
      <c r="FW173" s="30"/>
      <c r="FX173" s="30"/>
      <c r="FY173" s="30"/>
      <c r="FZ173" s="30"/>
      <c r="GA173" s="30"/>
      <c r="GB173" s="30"/>
      <c r="GC173" s="30"/>
      <c r="GD173" s="30"/>
      <c r="GE173" s="30"/>
      <c r="GF173" s="30"/>
      <c r="GG173" s="30"/>
      <c r="GH173" s="30"/>
      <c r="GI173" s="30"/>
      <c r="GJ173" s="30"/>
      <c r="GK173" s="30"/>
      <c r="GL173" s="30"/>
      <c r="GM173" s="30"/>
      <c r="GN173" s="30"/>
      <c r="GO173" s="30"/>
      <c r="GP173" s="30"/>
      <c r="GQ173" s="30"/>
      <c r="GR173" s="30"/>
      <c r="GS173" s="30"/>
      <c r="GT173" s="30"/>
      <c r="GU173" s="30"/>
      <c r="GV173" s="30"/>
      <c r="GW173" s="30"/>
      <c r="GX173" s="30"/>
      <c r="GY173" s="30"/>
      <c r="GZ173" s="30"/>
      <c r="HA173" s="30"/>
      <c r="HB173" s="30"/>
      <c r="HC173" s="30"/>
      <c r="HD173" s="30"/>
      <c r="HE173" s="30"/>
    </row>
    <row r="174">
      <c r="A174" s="9" t="s">
        <v>102</v>
      </c>
      <c r="B174" s="124">
        <f t="shared" si="12"/>
        <v>0</v>
      </c>
      <c r="C174" s="111">
        <f t="shared" si="13"/>
        <v>0</v>
      </c>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30"/>
      <c r="EJ174" s="30"/>
      <c r="EK174" s="30"/>
      <c r="EL174" s="30"/>
      <c r="EM174" s="30"/>
      <c r="EN174" s="30"/>
      <c r="EO174" s="30"/>
      <c r="EP174" s="30"/>
      <c r="EQ174" s="30"/>
      <c r="ER174" s="30"/>
      <c r="ES174" s="30"/>
      <c r="ET174" s="30"/>
      <c r="EU174" s="30"/>
      <c r="EV174" s="30"/>
      <c r="EW174" s="30"/>
      <c r="EX174" s="30"/>
      <c r="EY174" s="30"/>
      <c r="EZ174" s="30"/>
      <c r="FA174" s="30"/>
      <c r="FB174" s="30"/>
      <c r="FC174" s="30"/>
      <c r="FD174" s="30"/>
      <c r="FE174" s="30"/>
      <c r="FF174" s="30"/>
      <c r="FG174" s="30"/>
      <c r="FH174" s="30"/>
      <c r="FI174" s="30"/>
      <c r="FJ174" s="30"/>
      <c r="FK174" s="30"/>
      <c r="FL174" s="30"/>
      <c r="FM174" s="30"/>
      <c r="FN174" s="30"/>
      <c r="FO174" s="30"/>
      <c r="FP174" s="30"/>
      <c r="FQ174" s="30"/>
      <c r="FR174" s="30"/>
      <c r="FS174" s="30"/>
      <c r="FT174" s="30"/>
      <c r="FU174" s="30"/>
      <c r="FV174" s="30"/>
      <c r="FW174" s="30"/>
      <c r="FX174" s="30"/>
      <c r="FY174" s="30"/>
      <c r="FZ174" s="30"/>
      <c r="GA174" s="30"/>
      <c r="GB174" s="30"/>
      <c r="GC174" s="30"/>
      <c r="GD174" s="30"/>
      <c r="GE174" s="30"/>
      <c r="GF174" s="30"/>
      <c r="GG174" s="30"/>
      <c r="GH174" s="30"/>
      <c r="GI174" s="30"/>
      <c r="GJ174" s="30"/>
      <c r="GK174" s="30"/>
      <c r="GL174" s="30"/>
      <c r="GM174" s="30"/>
      <c r="GN174" s="30"/>
      <c r="GO174" s="30"/>
      <c r="GP174" s="30"/>
      <c r="GQ174" s="30"/>
      <c r="GR174" s="30"/>
      <c r="GS174" s="30"/>
      <c r="GT174" s="30"/>
      <c r="GU174" s="30"/>
      <c r="GV174" s="30"/>
      <c r="GW174" s="30"/>
      <c r="GX174" s="30"/>
      <c r="GY174" s="30"/>
      <c r="GZ174" s="30"/>
      <c r="HA174" s="30"/>
      <c r="HB174" s="30"/>
      <c r="HC174" s="30"/>
      <c r="HD174" s="30"/>
      <c r="HE174" s="30"/>
    </row>
    <row r="175">
      <c r="A175" s="9" t="s">
        <v>123</v>
      </c>
      <c r="B175" s="124">
        <f t="shared" si="12"/>
        <v>0.02298850575</v>
      </c>
      <c r="C175" s="111">
        <f t="shared" si="13"/>
        <v>2</v>
      </c>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87">
        <v>1.0</v>
      </c>
      <c r="AB175" s="30"/>
      <c r="AC175" s="30"/>
      <c r="AD175" s="30"/>
      <c r="AE175" s="30"/>
      <c r="AF175" s="30"/>
      <c r="AG175" s="30"/>
      <c r="AH175" s="30"/>
      <c r="AI175" s="30"/>
      <c r="AJ175" s="30"/>
      <c r="AK175" s="30"/>
      <c r="AL175" s="30"/>
      <c r="AM175" s="30"/>
      <c r="AN175" s="30"/>
      <c r="AO175" s="30"/>
      <c r="AP175" s="30"/>
      <c r="AQ175" s="87">
        <v>2.0</v>
      </c>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30"/>
      <c r="EJ175" s="30"/>
      <c r="EK175" s="30"/>
      <c r="EL175" s="30"/>
      <c r="EM175" s="30"/>
      <c r="EN175" s="30"/>
      <c r="EO175" s="30"/>
      <c r="EP175" s="30"/>
      <c r="EQ175" s="30"/>
      <c r="ER175" s="30"/>
      <c r="ES175" s="30"/>
      <c r="ET175" s="30"/>
      <c r="EU175" s="30"/>
      <c r="EV175" s="30"/>
      <c r="EW175" s="30"/>
      <c r="EX175" s="30"/>
      <c r="EY175" s="30"/>
      <c r="EZ175" s="30"/>
      <c r="FA175" s="30"/>
      <c r="FB175" s="30"/>
      <c r="FC175" s="30"/>
      <c r="FD175" s="30"/>
      <c r="FE175" s="30"/>
      <c r="FF175" s="30"/>
      <c r="FG175" s="30"/>
      <c r="FH175" s="30"/>
      <c r="FI175" s="30"/>
      <c r="FJ175" s="30"/>
      <c r="FK175" s="30"/>
      <c r="FL175" s="30"/>
      <c r="FM175" s="30"/>
      <c r="FN175" s="30"/>
      <c r="FO175" s="30"/>
      <c r="FP175" s="30"/>
      <c r="FQ175" s="30"/>
      <c r="FR175" s="30"/>
      <c r="FS175" s="30"/>
      <c r="FT175" s="30"/>
      <c r="FU175" s="30"/>
      <c r="FV175" s="30"/>
      <c r="FW175" s="30"/>
      <c r="FX175" s="30"/>
      <c r="FY175" s="30"/>
      <c r="FZ175" s="30"/>
      <c r="GA175" s="30"/>
      <c r="GB175" s="30"/>
      <c r="GC175" s="30"/>
      <c r="GD175" s="30"/>
      <c r="GE175" s="30"/>
      <c r="GF175" s="30"/>
      <c r="GG175" s="30"/>
      <c r="GH175" s="30"/>
      <c r="GI175" s="30"/>
      <c r="GJ175" s="30"/>
      <c r="GK175" s="30"/>
      <c r="GL175" s="30"/>
      <c r="GM175" s="30"/>
      <c r="GN175" s="30"/>
      <c r="GO175" s="30"/>
      <c r="GP175" s="30"/>
      <c r="GQ175" s="30"/>
      <c r="GR175" s="30"/>
      <c r="GS175" s="30"/>
      <c r="GT175" s="30"/>
      <c r="GU175" s="30"/>
      <c r="GV175" s="30"/>
      <c r="GW175" s="30"/>
      <c r="GX175" s="30"/>
      <c r="GY175" s="30"/>
      <c r="GZ175" s="30"/>
      <c r="HA175" s="30"/>
      <c r="HB175" s="30"/>
      <c r="HC175" s="30"/>
      <c r="HD175" s="30"/>
      <c r="HE175" s="30"/>
    </row>
    <row r="176">
      <c r="A176" s="9" t="s">
        <v>82</v>
      </c>
      <c r="B176" s="124">
        <f t="shared" si="12"/>
        <v>0.01149425287</v>
      </c>
      <c r="C176" s="111">
        <f t="shared" si="13"/>
        <v>1</v>
      </c>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87">
        <v>5.0</v>
      </c>
      <c r="EF176" s="30"/>
      <c r="EG176" s="30"/>
      <c r="EH176" s="30"/>
      <c r="EI176" s="30"/>
      <c r="EJ176" s="30"/>
      <c r="EK176" s="30"/>
      <c r="EL176" s="30"/>
      <c r="EM176" s="30"/>
      <c r="EN176" s="30"/>
      <c r="EO176" s="30"/>
      <c r="EP176" s="30"/>
      <c r="EQ176" s="30"/>
      <c r="ER176" s="30"/>
      <c r="ES176" s="30"/>
      <c r="ET176" s="30"/>
      <c r="EU176" s="30"/>
      <c r="EV176" s="30"/>
      <c r="EW176" s="30"/>
      <c r="EX176" s="30"/>
      <c r="EY176" s="30"/>
      <c r="EZ176" s="30"/>
      <c r="FA176" s="30"/>
      <c r="FB176" s="30"/>
      <c r="FC176" s="30"/>
      <c r="FD176" s="30"/>
      <c r="FE176" s="30"/>
      <c r="FF176" s="30"/>
      <c r="FG176" s="30"/>
      <c r="FH176" s="30"/>
      <c r="FI176" s="30"/>
      <c r="FJ176" s="30"/>
      <c r="FK176" s="30"/>
      <c r="FL176" s="30"/>
      <c r="FM176" s="30"/>
      <c r="FN176" s="30"/>
      <c r="FO176" s="30"/>
      <c r="FP176" s="30"/>
      <c r="FQ176" s="30"/>
      <c r="FR176" s="30"/>
      <c r="FS176" s="30"/>
      <c r="FT176" s="30"/>
      <c r="FU176" s="30"/>
      <c r="FV176" s="30"/>
      <c r="FW176" s="30"/>
      <c r="FX176" s="30"/>
      <c r="FY176" s="30"/>
      <c r="FZ176" s="30"/>
      <c r="GA176" s="30"/>
      <c r="GB176" s="30"/>
      <c r="GC176" s="30"/>
      <c r="GD176" s="30"/>
      <c r="GE176" s="30"/>
      <c r="GF176" s="30"/>
      <c r="GG176" s="30"/>
      <c r="GH176" s="30"/>
      <c r="GI176" s="30"/>
      <c r="GJ176" s="30"/>
      <c r="GK176" s="30"/>
      <c r="GL176" s="30"/>
      <c r="GM176" s="30"/>
      <c r="GN176" s="30"/>
      <c r="GO176" s="30"/>
      <c r="GP176" s="30"/>
      <c r="GQ176" s="30"/>
      <c r="GR176" s="30"/>
      <c r="GS176" s="30"/>
      <c r="GT176" s="30"/>
      <c r="GU176" s="30"/>
      <c r="GV176" s="30"/>
      <c r="GW176" s="30"/>
      <c r="GX176" s="30"/>
      <c r="GY176" s="30"/>
      <c r="GZ176" s="30"/>
      <c r="HA176" s="30"/>
      <c r="HB176" s="30"/>
      <c r="HC176" s="30"/>
      <c r="HD176" s="30"/>
      <c r="HE176" s="30"/>
    </row>
    <row r="177">
      <c r="A177" s="9" t="s">
        <v>103</v>
      </c>
      <c r="B177" s="124">
        <f t="shared" si="12"/>
        <v>0.01149425287</v>
      </c>
      <c r="C177" s="111">
        <f t="shared" si="13"/>
        <v>1</v>
      </c>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30"/>
      <c r="EJ177" s="30"/>
      <c r="EK177" s="30"/>
      <c r="EL177" s="30"/>
      <c r="EM177" s="30"/>
      <c r="EN177" s="30"/>
      <c r="EO177" s="30"/>
      <c r="EP177" s="30"/>
      <c r="EQ177" s="87">
        <v>3.0</v>
      </c>
      <c r="ER177" s="30"/>
      <c r="ES177" s="30"/>
      <c r="ET177" s="30"/>
      <c r="EU177" s="30"/>
      <c r="EV177" s="30"/>
      <c r="EW177" s="30"/>
      <c r="EX177" s="30"/>
      <c r="EY177" s="30"/>
      <c r="EZ177" s="30"/>
      <c r="FA177" s="30"/>
      <c r="FB177" s="30"/>
      <c r="FC177" s="30"/>
      <c r="FD177" s="30"/>
      <c r="FE177" s="30"/>
      <c r="FF177" s="30"/>
      <c r="FG177" s="30"/>
      <c r="FH177" s="30"/>
      <c r="FI177" s="30"/>
      <c r="FJ177" s="30"/>
      <c r="FK177" s="30"/>
      <c r="FL177" s="30"/>
      <c r="FM177" s="30"/>
      <c r="FN177" s="30"/>
      <c r="FO177" s="30"/>
      <c r="FP177" s="30"/>
      <c r="FQ177" s="30"/>
      <c r="FR177" s="30"/>
      <c r="FS177" s="30"/>
      <c r="FT177" s="30"/>
      <c r="FU177" s="30"/>
      <c r="FV177" s="30"/>
      <c r="FW177" s="30"/>
      <c r="FX177" s="30"/>
      <c r="FY177" s="30"/>
      <c r="FZ177" s="30"/>
      <c r="GA177" s="30"/>
      <c r="GB177" s="30"/>
      <c r="GC177" s="30"/>
      <c r="GD177" s="30"/>
      <c r="GE177" s="30"/>
      <c r="GF177" s="30"/>
      <c r="GG177" s="30"/>
      <c r="GH177" s="30"/>
      <c r="GI177" s="30"/>
      <c r="GJ177" s="30"/>
      <c r="GK177" s="30"/>
      <c r="GL177" s="30"/>
      <c r="GM177" s="30"/>
      <c r="GN177" s="30"/>
      <c r="GO177" s="30"/>
      <c r="GP177" s="30"/>
      <c r="GQ177" s="30"/>
      <c r="GR177" s="30"/>
      <c r="GS177" s="30"/>
      <c r="GT177" s="30"/>
      <c r="GU177" s="30"/>
      <c r="GV177" s="30"/>
      <c r="GW177" s="30"/>
      <c r="GX177" s="30"/>
      <c r="GY177" s="30"/>
      <c r="GZ177" s="30"/>
      <c r="HA177" s="30"/>
      <c r="HB177" s="30"/>
      <c r="HC177" s="30"/>
      <c r="HD177" s="30"/>
      <c r="HE177" s="30"/>
    </row>
    <row r="178">
      <c r="A178" s="9" t="s">
        <v>124</v>
      </c>
      <c r="B178" s="124">
        <f t="shared" si="12"/>
        <v>0.01149425287</v>
      </c>
      <c r="C178" s="111">
        <f t="shared" si="13"/>
        <v>1</v>
      </c>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87">
        <v>1.0</v>
      </c>
      <c r="EG178" s="30"/>
      <c r="EH178" s="30"/>
      <c r="EI178" s="30"/>
      <c r="EJ178" s="30"/>
      <c r="EK178" s="30"/>
      <c r="EL178" s="30"/>
      <c r="EM178" s="30"/>
      <c r="EN178" s="30"/>
      <c r="EO178" s="30"/>
      <c r="EP178" s="30"/>
      <c r="EQ178" s="30"/>
      <c r="ER178" s="30"/>
      <c r="ES178" s="30"/>
      <c r="ET178" s="30"/>
      <c r="EU178" s="30"/>
      <c r="EV178" s="30"/>
      <c r="EW178" s="30"/>
      <c r="EX178" s="30"/>
      <c r="EY178" s="30"/>
      <c r="EZ178" s="30"/>
      <c r="FA178" s="30"/>
      <c r="FB178" s="30"/>
      <c r="FC178" s="30"/>
      <c r="FD178" s="30"/>
      <c r="FE178" s="30"/>
      <c r="FF178" s="30"/>
      <c r="FG178" s="30"/>
      <c r="FH178" s="30"/>
      <c r="FI178" s="30"/>
      <c r="FJ178" s="30"/>
      <c r="FK178" s="30"/>
      <c r="FL178" s="30"/>
      <c r="FM178" s="30"/>
      <c r="FN178" s="30"/>
      <c r="FO178" s="30"/>
      <c r="FP178" s="30"/>
      <c r="FQ178" s="30"/>
      <c r="FR178" s="30"/>
      <c r="FS178" s="30"/>
      <c r="FT178" s="30"/>
      <c r="FU178" s="30"/>
      <c r="FV178" s="30"/>
      <c r="FW178" s="30"/>
      <c r="FX178" s="30"/>
      <c r="FY178" s="30"/>
      <c r="FZ178" s="30"/>
      <c r="GA178" s="30"/>
      <c r="GB178" s="30"/>
      <c r="GC178" s="30"/>
      <c r="GD178" s="30"/>
      <c r="GE178" s="30"/>
      <c r="GF178" s="30"/>
      <c r="GG178" s="30"/>
      <c r="GH178" s="30"/>
      <c r="GI178" s="30"/>
      <c r="GJ178" s="30"/>
      <c r="GK178" s="30"/>
      <c r="GL178" s="30"/>
      <c r="GM178" s="30"/>
      <c r="GN178" s="30"/>
      <c r="GO178" s="30"/>
      <c r="GP178" s="30"/>
      <c r="GQ178" s="30"/>
      <c r="GR178" s="30"/>
      <c r="GS178" s="30"/>
      <c r="GT178" s="30"/>
      <c r="GU178" s="30"/>
      <c r="GV178" s="30"/>
      <c r="GW178" s="30"/>
      <c r="GX178" s="30"/>
      <c r="GY178" s="30"/>
      <c r="GZ178" s="30"/>
      <c r="HA178" s="30"/>
      <c r="HB178" s="30"/>
      <c r="HC178" s="30"/>
      <c r="HD178" s="30"/>
      <c r="HE178" s="30"/>
    </row>
    <row r="179">
      <c r="A179" s="9" t="s">
        <v>83</v>
      </c>
      <c r="B179" s="124">
        <f t="shared" si="12"/>
        <v>0.02298850575</v>
      </c>
      <c r="C179" s="111">
        <f t="shared" si="13"/>
        <v>2</v>
      </c>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87">
        <v>4.0</v>
      </c>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30"/>
      <c r="EJ179" s="30"/>
      <c r="EK179" s="30"/>
      <c r="EL179" s="30"/>
      <c r="EM179" s="30"/>
      <c r="EN179" s="30"/>
      <c r="EO179" s="30"/>
      <c r="EP179" s="30"/>
      <c r="EQ179" s="30"/>
      <c r="ER179" s="30"/>
      <c r="ES179" s="30"/>
      <c r="ET179" s="30"/>
      <c r="EU179" s="30"/>
      <c r="EV179" s="30"/>
      <c r="EW179" s="30"/>
      <c r="EX179" s="30"/>
      <c r="EY179" s="30"/>
      <c r="EZ179" s="30"/>
      <c r="FA179" s="30"/>
      <c r="FB179" s="30"/>
      <c r="FC179" s="30"/>
      <c r="FD179" s="30"/>
      <c r="FE179" s="30"/>
      <c r="FF179" s="30"/>
      <c r="FG179" s="30"/>
      <c r="FH179" s="30"/>
      <c r="FI179" s="30"/>
      <c r="FJ179" s="30"/>
      <c r="FK179" s="30"/>
      <c r="FL179" s="30"/>
      <c r="FM179" s="30"/>
      <c r="FN179" s="30"/>
      <c r="FO179" s="30"/>
      <c r="FP179" s="30"/>
      <c r="FQ179" s="30"/>
      <c r="FR179" s="30"/>
      <c r="FS179" s="30"/>
      <c r="FT179" s="30"/>
      <c r="FU179" s="87">
        <v>2.0</v>
      </c>
      <c r="FV179" s="30"/>
      <c r="FW179" s="30"/>
      <c r="FX179" s="30"/>
      <c r="FY179" s="30"/>
      <c r="FZ179" s="30"/>
      <c r="GA179" s="30"/>
      <c r="GB179" s="30"/>
      <c r="GC179" s="30"/>
      <c r="GD179" s="30"/>
      <c r="GE179" s="30"/>
      <c r="GF179" s="30"/>
      <c r="GG179" s="30"/>
      <c r="GH179" s="30"/>
      <c r="GI179" s="30"/>
      <c r="GJ179" s="30"/>
      <c r="GK179" s="30"/>
      <c r="GL179" s="30"/>
      <c r="GM179" s="30"/>
      <c r="GN179" s="30"/>
      <c r="GO179" s="30"/>
      <c r="GP179" s="30"/>
      <c r="GQ179" s="30"/>
      <c r="GR179" s="30"/>
      <c r="GS179" s="30"/>
      <c r="GT179" s="30"/>
      <c r="GU179" s="30"/>
      <c r="GV179" s="30"/>
      <c r="GW179" s="30"/>
      <c r="GX179" s="30"/>
      <c r="GY179" s="30"/>
      <c r="GZ179" s="30"/>
      <c r="HA179" s="30"/>
      <c r="HB179" s="30"/>
      <c r="HC179" s="30"/>
      <c r="HD179" s="30"/>
      <c r="HE179" s="30"/>
    </row>
    <row r="180">
      <c r="A180" s="9" t="s">
        <v>104</v>
      </c>
      <c r="B180" s="124">
        <f t="shared" si="12"/>
        <v>0.02298850575</v>
      </c>
      <c r="C180" s="111">
        <f t="shared" si="13"/>
        <v>2</v>
      </c>
      <c r="D180" s="30"/>
      <c r="E180" s="30"/>
      <c r="F180" s="30"/>
      <c r="G180" s="30"/>
      <c r="H180" s="30"/>
      <c r="I180" s="30"/>
      <c r="J180" s="30"/>
      <c r="K180" s="30"/>
      <c r="L180" s="30"/>
      <c r="M180" s="30"/>
      <c r="N180" s="30"/>
      <c r="O180" s="30"/>
      <c r="P180" s="30"/>
      <c r="Q180" s="30"/>
      <c r="R180" s="87">
        <v>1.0</v>
      </c>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30"/>
      <c r="EJ180" s="30"/>
      <c r="EK180" s="30"/>
      <c r="EL180" s="30"/>
      <c r="EM180" s="30"/>
      <c r="EN180" s="30"/>
      <c r="EO180" s="30"/>
      <c r="EP180" s="30"/>
      <c r="EQ180" s="30"/>
      <c r="ER180" s="30"/>
      <c r="ES180" s="30"/>
      <c r="ET180" s="30"/>
      <c r="EU180" s="30"/>
      <c r="EV180" s="30"/>
      <c r="EW180" s="30"/>
      <c r="EX180" s="30"/>
      <c r="EY180" s="30"/>
      <c r="EZ180" s="30"/>
      <c r="FA180" s="30"/>
      <c r="FB180" s="30"/>
      <c r="FC180" s="30"/>
      <c r="FD180" s="30"/>
      <c r="FE180" s="30"/>
      <c r="FF180" s="30"/>
      <c r="FG180" s="30"/>
      <c r="FH180" s="30"/>
      <c r="FI180" s="30"/>
      <c r="FJ180" s="30"/>
      <c r="FK180" s="30"/>
      <c r="FL180" s="30"/>
      <c r="FM180" s="30"/>
      <c r="FN180" s="30"/>
      <c r="FO180" s="30"/>
      <c r="FP180" s="30"/>
      <c r="FQ180" s="30"/>
      <c r="FR180" s="30"/>
      <c r="FS180" s="30"/>
      <c r="FT180" s="30"/>
      <c r="FU180" s="30"/>
      <c r="FV180" s="30"/>
      <c r="FW180" s="87">
        <v>5.0</v>
      </c>
      <c r="FX180" s="30"/>
      <c r="FY180" s="30"/>
      <c r="FZ180" s="30"/>
      <c r="GA180" s="30"/>
      <c r="GB180" s="30"/>
      <c r="GC180" s="30"/>
      <c r="GD180" s="30"/>
      <c r="GE180" s="30"/>
      <c r="GF180" s="30"/>
      <c r="GG180" s="30"/>
      <c r="GH180" s="30"/>
      <c r="GI180" s="30"/>
      <c r="GJ180" s="30"/>
      <c r="GK180" s="30"/>
      <c r="GL180" s="30"/>
      <c r="GM180" s="30"/>
      <c r="GN180" s="30"/>
      <c r="GO180" s="30"/>
      <c r="GP180" s="30"/>
      <c r="GQ180" s="30"/>
      <c r="GR180" s="30"/>
      <c r="GS180" s="30"/>
      <c r="GT180" s="30"/>
      <c r="GU180" s="30"/>
      <c r="GV180" s="30"/>
      <c r="GW180" s="30"/>
      <c r="GX180" s="30"/>
      <c r="GY180" s="30"/>
      <c r="GZ180" s="30"/>
      <c r="HA180" s="30"/>
      <c r="HB180" s="30"/>
      <c r="HC180" s="30"/>
      <c r="HD180" s="30"/>
      <c r="HE180" s="30"/>
    </row>
    <row r="181">
      <c r="A181" s="91" t="s">
        <v>125</v>
      </c>
      <c r="B181" s="124">
        <f t="shared" si="12"/>
        <v>0.01149425287</v>
      </c>
      <c r="C181" s="111">
        <f t="shared" si="13"/>
        <v>1</v>
      </c>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87">
        <v>1.0</v>
      </c>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30"/>
      <c r="EJ181" s="30"/>
      <c r="EK181" s="30"/>
      <c r="EL181" s="30"/>
      <c r="EM181" s="30"/>
      <c r="EN181" s="30"/>
      <c r="EO181" s="30"/>
      <c r="EP181" s="30"/>
      <c r="EQ181" s="30"/>
      <c r="ER181" s="30"/>
      <c r="ES181" s="30"/>
      <c r="ET181" s="30"/>
      <c r="EU181" s="30"/>
      <c r="EV181" s="30"/>
      <c r="EW181" s="30"/>
      <c r="EX181" s="30"/>
      <c r="EY181" s="30"/>
      <c r="EZ181" s="30"/>
      <c r="FA181" s="30"/>
      <c r="FB181" s="30"/>
      <c r="FC181" s="30"/>
      <c r="FD181" s="30"/>
      <c r="FE181" s="30"/>
      <c r="FF181" s="30"/>
      <c r="FG181" s="30"/>
      <c r="FH181" s="30"/>
      <c r="FI181" s="30"/>
      <c r="FJ181" s="30"/>
      <c r="FK181" s="30"/>
      <c r="FL181" s="30"/>
      <c r="FM181" s="30"/>
      <c r="FN181" s="30"/>
      <c r="FO181" s="30"/>
      <c r="FP181" s="30"/>
      <c r="FQ181" s="30"/>
      <c r="FR181" s="30"/>
      <c r="FS181" s="30"/>
      <c r="FT181" s="30"/>
      <c r="FU181" s="30"/>
      <c r="FV181" s="30"/>
      <c r="FW181" s="30"/>
      <c r="FX181" s="30"/>
      <c r="FY181" s="30"/>
      <c r="FZ181" s="30"/>
      <c r="GA181" s="30"/>
      <c r="GB181" s="30"/>
      <c r="GC181" s="30"/>
      <c r="GD181" s="30"/>
      <c r="GE181" s="30"/>
      <c r="GF181" s="30"/>
      <c r="GG181" s="30"/>
      <c r="GH181" s="30"/>
      <c r="GI181" s="30"/>
      <c r="GJ181" s="30"/>
      <c r="GK181" s="30"/>
      <c r="GL181" s="30"/>
      <c r="GM181" s="30"/>
      <c r="GN181" s="30"/>
      <c r="GO181" s="30"/>
      <c r="GP181" s="30"/>
      <c r="GQ181" s="30"/>
      <c r="GR181" s="30"/>
      <c r="GS181" s="30"/>
      <c r="GT181" s="30"/>
      <c r="GU181" s="30"/>
      <c r="GV181" s="30"/>
      <c r="GW181" s="30"/>
      <c r="GX181" s="30"/>
      <c r="GY181" s="30"/>
      <c r="GZ181" s="30"/>
      <c r="HA181" s="30"/>
      <c r="HB181" s="30"/>
      <c r="HC181" s="30"/>
      <c r="HD181" s="30"/>
      <c r="HE181" s="30"/>
    </row>
    <row r="182">
      <c r="A182" s="9" t="s">
        <v>84</v>
      </c>
      <c r="B182" s="124">
        <f t="shared" si="12"/>
        <v>0.02298850575</v>
      </c>
      <c r="C182" s="111">
        <f t="shared" si="13"/>
        <v>2</v>
      </c>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87">
        <v>5.0</v>
      </c>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87">
        <v>1.0</v>
      </c>
      <c r="EA182" s="30"/>
      <c r="EB182" s="30"/>
      <c r="EC182" s="30"/>
      <c r="ED182" s="30"/>
      <c r="EE182" s="30"/>
      <c r="EF182" s="30"/>
      <c r="EG182" s="30"/>
      <c r="EH182" s="30"/>
      <c r="EI182" s="30"/>
      <c r="EJ182" s="30"/>
      <c r="EK182" s="30"/>
      <c r="EL182" s="30"/>
      <c r="EM182" s="30"/>
      <c r="EN182" s="30"/>
      <c r="EO182" s="30"/>
      <c r="EP182" s="30"/>
      <c r="EQ182" s="30"/>
      <c r="ER182" s="30"/>
      <c r="ES182" s="30"/>
      <c r="ET182" s="30"/>
      <c r="EU182" s="30"/>
      <c r="EV182" s="30"/>
      <c r="EW182" s="30"/>
      <c r="EX182" s="30"/>
      <c r="EY182" s="30"/>
      <c r="EZ182" s="30"/>
      <c r="FA182" s="30"/>
      <c r="FB182" s="30"/>
      <c r="FC182" s="30"/>
      <c r="FD182" s="30"/>
      <c r="FE182" s="30"/>
      <c r="FF182" s="30"/>
      <c r="FG182" s="30"/>
      <c r="FH182" s="30"/>
      <c r="FI182" s="30"/>
      <c r="FJ182" s="30"/>
      <c r="FK182" s="30"/>
      <c r="FL182" s="30"/>
      <c r="FM182" s="30"/>
      <c r="FN182" s="30"/>
      <c r="FO182" s="30"/>
      <c r="FP182" s="30"/>
      <c r="FQ182" s="30"/>
      <c r="FR182" s="30"/>
      <c r="FS182" s="30"/>
      <c r="FT182" s="30"/>
      <c r="FU182" s="30"/>
      <c r="FV182" s="30"/>
      <c r="FW182" s="30"/>
      <c r="FX182" s="30"/>
      <c r="FY182" s="30"/>
      <c r="FZ182" s="30"/>
      <c r="GA182" s="30"/>
      <c r="GB182" s="30"/>
      <c r="GC182" s="30"/>
      <c r="GD182" s="30"/>
      <c r="GE182" s="30"/>
      <c r="GF182" s="30"/>
      <c r="GG182" s="30"/>
      <c r="GH182" s="30"/>
      <c r="GI182" s="30"/>
      <c r="GJ182" s="30"/>
      <c r="GK182" s="30"/>
      <c r="GL182" s="30"/>
      <c r="GM182" s="30"/>
      <c r="GN182" s="30"/>
      <c r="GO182" s="30"/>
      <c r="GP182" s="30"/>
      <c r="GQ182" s="30"/>
      <c r="GR182" s="30"/>
      <c r="GS182" s="30"/>
      <c r="GT182" s="30"/>
      <c r="GU182" s="30"/>
      <c r="GV182" s="30"/>
      <c r="GW182" s="30"/>
      <c r="GX182" s="30"/>
      <c r="GY182" s="30"/>
      <c r="GZ182" s="30"/>
      <c r="HA182" s="30"/>
      <c r="HB182" s="30"/>
      <c r="HC182" s="30"/>
      <c r="HD182" s="30"/>
      <c r="HE182" s="30"/>
    </row>
    <row r="183">
      <c r="A183" s="9" t="s">
        <v>105</v>
      </c>
      <c r="B183" s="124">
        <f t="shared" si="12"/>
        <v>0</v>
      </c>
      <c r="C183" s="111">
        <f t="shared" si="13"/>
        <v>0</v>
      </c>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30"/>
      <c r="EO183" s="30"/>
      <c r="EP183" s="30"/>
      <c r="EQ183" s="30"/>
      <c r="ER183" s="30"/>
      <c r="ES183" s="30"/>
      <c r="ET183" s="30"/>
      <c r="EU183" s="30"/>
      <c r="EV183" s="30"/>
      <c r="EW183" s="30"/>
      <c r="EX183" s="30"/>
      <c r="EY183" s="30"/>
      <c r="EZ183" s="30"/>
      <c r="FA183" s="30"/>
      <c r="FB183" s="30"/>
      <c r="FC183" s="30"/>
      <c r="FD183" s="30"/>
      <c r="FE183" s="30"/>
      <c r="FF183" s="30"/>
      <c r="FG183" s="30"/>
      <c r="FH183" s="30"/>
      <c r="FI183" s="30"/>
      <c r="FJ183" s="30"/>
      <c r="FK183" s="30"/>
      <c r="FL183" s="30"/>
      <c r="FM183" s="30"/>
      <c r="FN183" s="30"/>
      <c r="FO183" s="30"/>
      <c r="FP183" s="30"/>
      <c r="FQ183" s="30"/>
      <c r="FR183" s="30"/>
      <c r="FS183" s="30"/>
      <c r="FT183" s="30"/>
      <c r="FU183" s="30"/>
      <c r="FV183" s="30"/>
      <c r="FW183" s="30"/>
      <c r="FX183" s="30"/>
      <c r="FY183" s="30"/>
      <c r="FZ183" s="30"/>
      <c r="GA183" s="30"/>
      <c r="GB183" s="30"/>
      <c r="GC183" s="30"/>
      <c r="GD183" s="30"/>
      <c r="GE183" s="30"/>
      <c r="GF183" s="30"/>
      <c r="GG183" s="30"/>
      <c r="GH183" s="30"/>
      <c r="GI183" s="30"/>
      <c r="GJ183" s="30"/>
      <c r="GK183" s="30"/>
      <c r="GL183" s="30"/>
      <c r="GM183" s="30"/>
      <c r="GN183" s="30"/>
      <c r="GO183" s="30"/>
      <c r="GP183" s="30"/>
      <c r="GQ183" s="30"/>
      <c r="GR183" s="30"/>
      <c r="GS183" s="30"/>
      <c r="GT183" s="30"/>
      <c r="GU183" s="30"/>
      <c r="GV183" s="30"/>
      <c r="GW183" s="30"/>
      <c r="GX183" s="30"/>
      <c r="GY183" s="30"/>
      <c r="GZ183" s="30"/>
      <c r="HA183" s="30"/>
      <c r="HB183" s="30"/>
      <c r="HC183" s="30"/>
      <c r="HD183" s="30"/>
      <c r="HE183" s="30"/>
    </row>
    <row r="184">
      <c r="A184" s="9" t="s">
        <v>126</v>
      </c>
      <c r="B184" s="124">
        <f t="shared" si="12"/>
        <v>0</v>
      </c>
      <c r="C184" s="111">
        <f t="shared" si="13"/>
        <v>0</v>
      </c>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30"/>
      <c r="EJ184" s="30"/>
      <c r="EK184" s="30"/>
      <c r="EL184" s="30"/>
      <c r="EM184" s="30"/>
      <c r="EN184" s="30"/>
      <c r="EO184" s="30"/>
      <c r="EP184" s="30"/>
      <c r="EQ184" s="30"/>
      <c r="ER184" s="30"/>
      <c r="ES184" s="30"/>
      <c r="ET184" s="30"/>
      <c r="EU184" s="30"/>
      <c r="EV184" s="30"/>
      <c r="EW184" s="30"/>
      <c r="EX184" s="30"/>
      <c r="EY184" s="30"/>
      <c r="EZ184" s="30"/>
      <c r="FA184" s="30"/>
      <c r="FB184" s="30"/>
      <c r="FC184" s="30"/>
      <c r="FD184" s="30"/>
      <c r="FE184" s="30"/>
      <c r="FF184" s="30"/>
      <c r="FG184" s="30"/>
      <c r="FH184" s="30"/>
      <c r="FI184" s="30"/>
      <c r="FJ184" s="30"/>
      <c r="FK184" s="30"/>
      <c r="FL184" s="30"/>
      <c r="FM184" s="30"/>
      <c r="FN184" s="30"/>
      <c r="FO184" s="30"/>
      <c r="FP184" s="30"/>
      <c r="FQ184" s="30"/>
      <c r="FR184" s="30"/>
      <c r="FS184" s="30"/>
      <c r="FT184" s="30"/>
      <c r="FU184" s="30"/>
      <c r="FV184" s="30"/>
      <c r="FW184" s="30"/>
      <c r="FX184" s="30"/>
      <c r="FY184" s="30"/>
      <c r="FZ184" s="30"/>
      <c r="GA184" s="30"/>
      <c r="GB184" s="30"/>
      <c r="GC184" s="30"/>
      <c r="GD184" s="30"/>
      <c r="GE184" s="30"/>
      <c r="GF184" s="30"/>
      <c r="GG184" s="30"/>
      <c r="GH184" s="30"/>
      <c r="GI184" s="30"/>
      <c r="GJ184" s="30"/>
      <c r="GK184" s="30"/>
      <c r="GL184" s="30"/>
      <c r="GM184" s="30"/>
      <c r="GN184" s="30"/>
      <c r="GO184" s="30"/>
      <c r="GP184" s="30"/>
      <c r="GQ184" s="30"/>
      <c r="GR184" s="30"/>
      <c r="GS184" s="30"/>
      <c r="GT184" s="30"/>
      <c r="GU184" s="30"/>
      <c r="GV184" s="30"/>
      <c r="GW184" s="30"/>
      <c r="GX184" s="30"/>
      <c r="GY184" s="30"/>
      <c r="GZ184" s="30"/>
      <c r="HA184" s="30"/>
      <c r="HB184" s="30"/>
      <c r="HC184" s="30"/>
      <c r="HD184" s="30"/>
      <c r="HE184" s="30"/>
    </row>
    <row r="185">
      <c r="A185" s="9" t="s">
        <v>85</v>
      </c>
      <c r="B185" s="124">
        <f t="shared" si="12"/>
        <v>0</v>
      </c>
      <c r="C185" s="111">
        <f t="shared" si="13"/>
        <v>0</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30"/>
      <c r="EJ185" s="30"/>
      <c r="EK185" s="30"/>
      <c r="EL185" s="30"/>
      <c r="EM185" s="30"/>
      <c r="EN185" s="30"/>
      <c r="EO185" s="30"/>
      <c r="EP185" s="30"/>
      <c r="EQ185" s="30"/>
      <c r="ER185" s="30"/>
      <c r="ES185" s="30"/>
      <c r="ET185" s="30"/>
      <c r="EU185" s="30"/>
      <c r="EV185" s="30"/>
      <c r="EW185" s="30"/>
      <c r="EX185" s="30"/>
      <c r="EY185" s="30"/>
      <c r="EZ185" s="30"/>
      <c r="FA185" s="30"/>
      <c r="FB185" s="30"/>
      <c r="FC185" s="30"/>
      <c r="FD185" s="30"/>
      <c r="FE185" s="30"/>
      <c r="FF185" s="30"/>
      <c r="FG185" s="30"/>
      <c r="FH185" s="30"/>
      <c r="FI185" s="30"/>
      <c r="FJ185" s="30"/>
      <c r="FK185" s="30"/>
      <c r="FL185" s="30"/>
      <c r="FM185" s="30"/>
      <c r="FN185" s="30"/>
      <c r="FO185" s="30"/>
      <c r="FP185" s="30"/>
      <c r="FQ185" s="30"/>
      <c r="FR185" s="30"/>
      <c r="FS185" s="30"/>
      <c r="FT185" s="30"/>
      <c r="FU185" s="30"/>
      <c r="FV185" s="30"/>
      <c r="FW185" s="30"/>
      <c r="FX185" s="30"/>
      <c r="FY185" s="30"/>
      <c r="FZ185" s="30"/>
      <c r="GA185" s="30"/>
      <c r="GB185" s="30"/>
      <c r="GC185" s="30"/>
      <c r="GD185" s="30"/>
      <c r="GE185" s="30"/>
      <c r="GF185" s="30"/>
      <c r="GG185" s="30"/>
      <c r="GH185" s="30"/>
      <c r="GI185" s="30"/>
      <c r="GJ185" s="30"/>
      <c r="GK185" s="30"/>
      <c r="GL185" s="30"/>
      <c r="GM185" s="30"/>
      <c r="GN185" s="30"/>
      <c r="GO185" s="30"/>
      <c r="GP185" s="30"/>
      <c r="GQ185" s="30"/>
      <c r="GR185" s="30"/>
      <c r="GS185" s="30"/>
      <c r="GT185" s="30"/>
      <c r="GU185" s="30"/>
      <c r="GV185" s="30"/>
      <c r="GW185" s="30"/>
      <c r="GX185" s="30"/>
      <c r="GY185" s="30"/>
      <c r="GZ185" s="30"/>
      <c r="HA185" s="30"/>
      <c r="HB185" s="30"/>
      <c r="HC185" s="30"/>
      <c r="HD185" s="30"/>
      <c r="HE185" s="30"/>
    </row>
    <row r="186">
      <c r="A186" s="9" t="s">
        <v>106</v>
      </c>
      <c r="B186" s="124">
        <f t="shared" si="12"/>
        <v>0.01149425287</v>
      </c>
      <c r="C186" s="111">
        <f t="shared" si="13"/>
        <v>1</v>
      </c>
      <c r="D186" s="30"/>
      <c r="E186" s="30"/>
      <c r="F186" s="30"/>
      <c r="G186" s="30"/>
      <c r="H186" s="30"/>
      <c r="I186" s="30"/>
      <c r="J186" s="30"/>
      <c r="K186" s="30"/>
      <c r="L186" s="30"/>
      <c r="M186" s="30"/>
      <c r="N186" s="30"/>
      <c r="O186" s="30"/>
      <c r="P186" s="30"/>
      <c r="Q186" s="30"/>
      <c r="R186" s="30"/>
      <c r="S186" s="30"/>
      <c r="T186" s="30"/>
      <c r="U186" s="87">
        <v>1.0</v>
      </c>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30"/>
      <c r="EJ186" s="30"/>
      <c r="EK186" s="30"/>
      <c r="EL186" s="30"/>
      <c r="EM186" s="30"/>
      <c r="EN186" s="30"/>
      <c r="EO186" s="30"/>
      <c r="EP186" s="30"/>
      <c r="EQ186" s="30"/>
      <c r="ER186" s="30"/>
      <c r="ES186" s="30"/>
      <c r="ET186" s="30"/>
      <c r="EU186" s="30"/>
      <c r="EV186" s="30"/>
      <c r="EW186" s="30"/>
      <c r="EX186" s="30"/>
      <c r="EY186" s="30"/>
      <c r="EZ186" s="30"/>
      <c r="FA186" s="30"/>
      <c r="FB186" s="30"/>
      <c r="FC186" s="30"/>
      <c r="FD186" s="30"/>
      <c r="FE186" s="30"/>
      <c r="FF186" s="30"/>
      <c r="FG186" s="30"/>
      <c r="FH186" s="30"/>
      <c r="FI186" s="30"/>
      <c r="FJ186" s="30"/>
      <c r="FK186" s="30"/>
      <c r="FL186" s="30"/>
      <c r="FM186" s="30"/>
      <c r="FN186" s="30"/>
      <c r="FO186" s="30"/>
      <c r="FP186" s="30"/>
      <c r="FQ186" s="30"/>
      <c r="FR186" s="30"/>
      <c r="FS186" s="30"/>
      <c r="FT186" s="30"/>
      <c r="FU186" s="30"/>
      <c r="FV186" s="30"/>
      <c r="FW186" s="30"/>
      <c r="FX186" s="30"/>
      <c r="FY186" s="30"/>
      <c r="FZ186" s="30"/>
      <c r="GA186" s="30"/>
      <c r="GB186" s="30"/>
      <c r="GC186" s="30"/>
      <c r="GD186" s="30"/>
      <c r="GE186" s="30"/>
      <c r="GF186" s="30"/>
      <c r="GG186" s="30"/>
      <c r="GH186" s="30"/>
      <c r="GI186" s="30"/>
      <c r="GJ186" s="30"/>
      <c r="GK186" s="30"/>
      <c r="GL186" s="30"/>
      <c r="GM186" s="30"/>
      <c r="GN186" s="30"/>
      <c r="GO186" s="30"/>
      <c r="GP186" s="30"/>
      <c r="GQ186" s="30"/>
      <c r="GR186" s="30"/>
      <c r="GS186" s="30"/>
      <c r="GT186" s="30"/>
      <c r="GU186" s="30"/>
      <c r="GV186" s="30"/>
      <c r="GW186" s="30"/>
      <c r="GX186" s="30"/>
      <c r="GY186" s="30"/>
      <c r="GZ186" s="30"/>
      <c r="HA186" s="30"/>
      <c r="HB186" s="30"/>
      <c r="HC186" s="30"/>
      <c r="HD186" s="30"/>
      <c r="HE186" s="30"/>
    </row>
    <row r="187">
      <c r="A187" s="91" t="s">
        <v>127</v>
      </c>
      <c r="B187" s="124">
        <f t="shared" si="12"/>
        <v>0.01149425287</v>
      </c>
      <c r="C187" s="111">
        <f t="shared" si="13"/>
        <v>1</v>
      </c>
      <c r="D187" s="30"/>
      <c r="E187" s="30"/>
      <c r="F187" s="30"/>
      <c r="G187" s="30"/>
      <c r="H187" s="30"/>
      <c r="I187" s="30"/>
      <c r="J187" s="30"/>
      <c r="K187" s="30"/>
      <c r="L187" s="30"/>
      <c r="M187" s="30"/>
      <c r="N187" s="30"/>
      <c r="O187" s="30"/>
      <c r="P187" s="30"/>
      <c r="Q187" s="30"/>
      <c r="R187" s="30"/>
      <c r="S187" s="30"/>
      <c r="T187" s="30"/>
      <c r="U187" s="30"/>
      <c r="V187" s="30"/>
      <c r="W187" s="30"/>
      <c r="X187" s="30"/>
      <c r="Y187" s="87">
        <v>1.0</v>
      </c>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30"/>
      <c r="EO187" s="30"/>
      <c r="EP187" s="30"/>
      <c r="EQ187" s="30"/>
      <c r="ER187" s="30"/>
      <c r="ES187" s="30"/>
      <c r="ET187" s="30"/>
      <c r="EU187" s="30"/>
      <c r="EV187" s="30"/>
      <c r="EW187" s="30"/>
      <c r="EX187" s="30"/>
      <c r="EY187" s="30"/>
      <c r="EZ187" s="30"/>
      <c r="FA187" s="30"/>
      <c r="FB187" s="30"/>
      <c r="FC187" s="30"/>
      <c r="FD187" s="30"/>
      <c r="FE187" s="30"/>
      <c r="FF187" s="30"/>
      <c r="FG187" s="30"/>
      <c r="FH187" s="30"/>
      <c r="FI187" s="30"/>
      <c r="FJ187" s="30"/>
      <c r="FK187" s="30"/>
      <c r="FL187" s="30"/>
      <c r="FM187" s="30"/>
      <c r="FN187" s="30"/>
      <c r="FO187" s="30"/>
      <c r="FP187" s="30"/>
      <c r="FQ187" s="30"/>
      <c r="FR187" s="30"/>
      <c r="FS187" s="30"/>
      <c r="FT187" s="30"/>
      <c r="FU187" s="30"/>
      <c r="FV187" s="30"/>
      <c r="FW187" s="30"/>
      <c r="FX187" s="30"/>
      <c r="FY187" s="30"/>
      <c r="FZ187" s="30"/>
      <c r="GA187" s="30"/>
      <c r="GB187" s="30"/>
      <c r="GC187" s="30"/>
      <c r="GD187" s="30"/>
      <c r="GE187" s="30"/>
      <c r="GF187" s="30"/>
      <c r="GG187" s="30"/>
      <c r="GH187" s="30"/>
      <c r="GI187" s="30"/>
      <c r="GJ187" s="30"/>
      <c r="GK187" s="30"/>
      <c r="GL187" s="30"/>
      <c r="GM187" s="30"/>
      <c r="GN187" s="30"/>
      <c r="GO187" s="30"/>
      <c r="GP187" s="30"/>
      <c r="GQ187" s="30"/>
      <c r="GR187" s="30"/>
      <c r="GS187" s="30"/>
      <c r="GT187" s="30"/>
      <c r="GU187" s="30"/>
      <c r="GV187" s="30"/>
      <c r="GW187" s="30"/>
      <c r="GX187" s="30"/>
      <c r="GY187" s="30"/>
      <c r="GZ187" s="30"/>
      <c r="HA187" s="30"/>
      <c r="HB187" s="30"/>
      <c r="HC187" s="30"/>
      <c r="HD187" s="30"/>
      <c r="HE187" s="30"/>
    </row>
    <row r="188">
      <c r="A188" s="9" t="s">
        <v>86</v>
      </c>
      <c r="B188" s="124">
        <f t="shared" si="12"/>
        <v>0.04597701149</v>
      </c>
      <c r="C188" s="111">
        <f t="shared" si="13"/>
        <v>4</v>
      </c>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87">
        <v>2.0</v>
      </c>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87">
        <v>2.0</v>
      </c>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30"/>
      <c r="EO188" s="30"/>
      <c r="EP188" s="30"/>
      <c r="EQ188" s="30"/>
      <c r="ER188" s="30"/>
      <c r="ES188" s="30"/>
      <c r="ET188" s="30"/>
      <c r="EU188" s="30"/>
      <c r="EV188" s="30"/>
      <c r="EW188" s="30"/>
      <c r="EX188" s="30"/>
      <c r="EY188" s="30"/>
      <c r="EZ188" s="30"/>
      <c r="FA188" s="30"/>
      <c r="FB188" s="30"/>
      <c r="FC188" s="30"/>
      <c r="FD188" s="30"/>
      <c r="FE188" s="30"/>
      <c r="FF188" s="30"/>
      <c r="FG188" s="30"/>
      <c r="FH188" s="30"/>
      <c r="FI188" s="30"/>
      <c r="FJ188" s="30"/>
      <c r="FK188" s="30"/>
      <c r="FL188" s="30"/>
      <c r="FM188" s="30"/>
      <c r="FN188" s="30"/>
      <c r="FO188" s="30"/>
      <c r="FP188" s="30"/>
      <c r="FQ188" s="30"/>
      <c r="FR188" s="30"/>
      <c r="FS188" s="30"/>
      <c r="FT188" s="30"/>
      <c r="FU188" s="87">
        <v>5.0</v>
      </c>
      <c r="FV188" s="30"/>
      <c r="FW188" s="30"/>
      <c r="FX188" s="87">
        <v>2.0</v>
      </c>
      <c r="FY188" s="30"/>
      <c r="FZ188" s="30"/>
      <c r="GA188" s="30"/>
      <c r="GB188" s="30"/>
      <c r="GC188" s="30"/>
      <c r="GD188" s="30"/>
      <c r="GE188" s="30"/>
      <c r="GF188" s="30"/>
      <c r="GG188" s="30"/>
      <c r="GH188" s="30"/>
      <c r="GI188" s="30"/>
      <c r="GJ188" s="30"/>
      <c r="GK188" s="30"/>
      <c r="GL188" s="30"/>
      <c r="GM188" s="30"/>
      <c r="GN188" s="30"/>
      <c r="GO188" s="30"/>
      <c r="GP188" s="30"/>
      <c r="GQ188" s="30"/>
      <c r="GR188" s="30"/>
      <c r="GS188" s="30"/>
      <c r="GT188" s="30"/>
      <c r="GU188" s="30"/>
      <c r="GV188" s="30"/>
      <c r="GW188" s="30"/>
      <c r="GX188" s="30"/>
      <c r="GY188" s="30"/>
      <c r="GZ188" s="30"/>
      <c r="HA188" s="30"/>
      <c r="HB188" s="30"/>
      <c r="HC188" s="30"/>
      <c r="HD188" s="30"/>
      <c r="HE188" s="30"/>
    </row>
    <row r="189">
      <c r="A189" s="9" t="s">
        <v>107</v>
      </c>
      <c r="B189" s="124">
        <f t="shared" si="12"/>
        <v>0.01149425287</v>
      </c>
      <c r="C189" s="111">
        <f t="shared" si="13"/>
        <v>1</v>
      </c>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30"/>
      <c r="EJ189" s="30"/>
      <c r="EK189" s="30"/>
      <c r="EL189" s="30"/>
      <c r="EM189" s="30"/>
      <c r="EN189" s="30"/>
      <c r="EO189" s="30"/>
      <c r="EP189" s="30"/>
      <c r="EQ189" s="30"/>
      <c r="ER189" s="30"/>
      <c r="ES189" s="30"/>
      <c r="ET189" s="30"/>
      <c r="EU189" s="30"/>
      <c r="EV189" s="30"/>
      <c r="EW189" s="30"/>
      <c r="EX189" s="30"/>
      <c r="EY189" s="30"/>
      <c r="EZ189" s="30"/>
      <c r="FA189" s="30"/>
      <c r="FB189" s="30"/>
      <c r="FC189" s="30"/>
      <c r="FD189" s="30"/>
      <c r="FE189" s="30"/>
      <c r="FF189" s="30"/>
      <c r="FG189" s="30"/>
      <c r="FH189" s="30"/>
      <c r="FI189" s="30"/>
      <c r="FJ189" s="30"/>
      <c r="FK189" s="30"/>
      <c r="FL189" s="30"/>
      <c r="FM189" s="30"/>
      <c r="FN189" s="30"/>
      <c r="FO189" s="30"/>
      <c r="FP189" s="30"/>
      <c r="FQ189" s="30"/>
      <c r="FR189" s="30"/>
      <c r="FS189" s="87">
        <v>3.0</v>
      </c>
      <c r="FT189" s="30"/>
      <c r="FU189" s="30"/>
      <c r="FV189" s="30"/>
      <c r="FW189" s="30"/>
      <c r="FX189" s="30"/>
      <c r="FY189" s="30"/>
      <c r="FZ189" s="30"/>
      <c r="GA189" s="30"/>
      <c r="GB189" s="30"/>
      <c r="GC189" s="30"/>
      <c r="GD189" s="30"/>
      <c r="GE189" s="30"/>
      <c r="GF189" s="30"/>
      <c r="GG189" s="30"/>
      <c r="GH189" s="30"/>
      <c r="GI189" s="30"/>
      <c r="GJ189" s="30"/>
      <c r="GK189" s="30"/>
      <c r="GL189" s="30"/>
      <c r="GM189" s="30"/>
      <c r="GN189" s="30"/>
      <c r="GO189" s="30"/>
      <c r="GP189" s="30"/>
      <c r="GQ189" s="30"/>
      <c r="GR189" s="30"/>
      <c r="GS189" s="30"/>
      <c r="GT189" s="30"/>
      <c r="GU189" s="30"/>
      <c r="GV189" s="30"/>
      <c r="GW189" s="30"/>
      <c r="GX189" s="30"/>
      <c r="GY189" s="30"/>
      <c r="GZ189" s="30"/>
      <c r="HA189" s="30"/>
      <c r="HB189" s="30"/>
      <c r="HC189" s="30"/>
      <c r="HD189" s="30"/>
      <c r="HE189" s="30"/>
    </row>
    <row r="190">
      <c r="A190" s="9" t="s">
        <v>129</v>
      </c>
      <c r="B190" s="124">
        <f t="shared" si="12"/>
        <v>0.01149425287</v>
      </c>
      <c r="C190" s="111">
        <f t="shared" si="13"/>
        <v>1</v>
      </c>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87">
        <v>1.0</v>
      </c>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30"/>
      <c r="EO190" s="30"/>
      <c r="EP190" s="30"/>
      <c r="EQ190" s="30"/>
      <c r="ER190" s="30"/>
      <c r="ES190" s="30"/>
      <c r="ET190" s="30"/>
      <c r="EU190" s="30"/>
      <c r="EV190" s="30"/>
      <c r="EW190" s="30"/>
      <c r="EX190" s="30"/>
      <c r="EY190" s="30"/>
      <c r="EZ190" s="30"/>
      <c r="FA190" s="30"/>
      <c r="FB190" s="30"/>
      <c r="FC190" s="30"/>
      <c r="FD190" s="30"/>
      <c r="FE190" s="30"/>
      <c r="FF190" s="30"/>
      <c r="FG190" s="30"/>
      <c r="FH190" s="30"/>
      <c r="FI190" s="30"/>
      <c r="FJ190" s="30"/>
      <c r="FK190" s="30"/>
      <c r="FL190" s="30"/>
      <c r="FM190" s="30"/>
      <c r="FN190" s="30"/>
      <c r="FO190" s="30"/>
      <c r="FP190" s="30"/>
      <c r="FQ190" s="30"/>
      <c r="FR190" s="30"/>
      <c r="FS190" s="30"/>
      <c r="FT190" s="30"/>
      <c r="FU190" s="30"/>
      <c r="FV190" s="30"/>
      <c r="FW190" s="30"/>
      <c r="FX190" s="30"/>
      <c r="FY190" s="30"/>
      <c r="FZ190" s="30"/>
      <c r="GA190" s="30"/>
      <c r="GB190" s="30"/>
      <c r="GC190" s="30"/>
      <c r="GD190" s="30"/>
      <c r="GE190" s="30"/>
      <c r="GF190" s="30"/>
      <c r="GG190" s="30"/>
      <c r="GH190" s="30"/>
      <c r="GI190" s="30"/>
      <c r="GJ190" s="30"/>
      <c r="GK190" s="30"/>
      <c r="GL190" s="30"/>
      <c r="GM190" s="30"/>
      <c r="GN190" s="30"/>
      <c r="GO190" s="30"/>
      <c r="GP190" s="30"/>
      <c r="GQ190" s="30"/>
      <c r="GR190" s="30"/>
      <c r="GS190" s="30"/>
      <c r="GT190" s="30"/>
      <c r="GU190" s="30"/>
      <c r="GV190" s="30"/>
      <c r="GW190" s="30"/>
      <c r="GX190" s="30"/>
      <c r="GY190" s="30"/>
      <c r="GZ190" s="30"/>
      <c r="HA190" s="30"/>
      <c r="HB190" s="30"/>
      <c r="HC190" s="30"/>
      <c r="HD190" s="30"/>
      <c r="HE190" s="30"/>
    </row>
    <row r="191">
      <c r="A191" s="9" t="s">
        <v>87</v>
      </c>
      <c r="B191" s="124">
        <f t="shared" si="12"/>
        <v>0</v>
      </c>
      <c r="C191" s="111">
        <f t="shared" si="13"/>
        <v>0</v>
      </c>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30"/>
      <c r="EJ191" s="30"/>
      <c r="EK191" s="30"/>
      <c r="EL191" s="30"/>
      <c r="EM191" s="30"/>
      <c r="EN191" s="30"/>
      <c r="EO191" s="30"/>
      <c r="EP191" s="30"/>
      <c r="EQ191" s="30"/>
      <c r="ER191" s="30"/>
      <c r="ES191" s="30"/>
      <c r="ET191" s="30"/>
      <c r="EU191" s="30"/>
      <c r="EV191" s="30"/>
      <c r="EW191" s="30"/>
      <c r="EX191" s="30"/>
      <c r="EY191" s="30"/>
      <c r="EZ191" s="30"/>
      <c r="FA191" s="30"/>
      <c r="FB191" s="30"/>
      <c r="FC191" s="30"/>
      <c r="FD191" s="30"/>
      <c r="FE191" s="30"/>
      <c r="FF191" s="30"/>
      <c r="FG191" s="30"/>
      <c r="FH191" s="30"/>
      <c r="FI191" s="30"/>
      <c r="FJ191" s="30"/>
      <c r="FK191" s="30"/>
      <c r="FL191" s="30"/>
      <c r="FM191" s="30"/>
      <c r="FN191" s="30"/>
      <c r="FO191" s="30"/>
      <c r="FP191" s="30"/>
      <c r="FQ191" s="30"/>
      <c r="FR191" s="30"/>
      <c r="FS191" s="30"/>
      <c r="FT191" s="30"/>
      <c r="FU191" s="30"/>
      <c r="FV191" s="30"/>
      <c r="FW191" s="30"/>
      <c r="FX191" s="30"/>
      <c r="FY191" s="30"/>
      <c r="FZ191" s="30"/>
      <c r="GA191" s="30"/>
      <c r="GB191" s="30"/>
      <c r="GC191" s="30"/>
      <c r="GD191" s="30"/>
      <c r="GE191" s="30"/>
      <c r="GF191" s="30"/>
      <c r="GG191" s="30"/>
      <c r="GH191" s="30"/>
      <c r="GI191" s="30"/>
      <c r="GJ191" s="30"/>
      <c r="GK191" s="30"/>
      <c r="GL191" s="30"/>
      <c r="GM191" s="30"/>
      <c r="GN191" s="30"/>
      <c r="GO191" s="30"/>
      <c r="GP191" s="30"/>
      <c r="GQ191" s="30"/>
      <c r="GR191" s="30"/>
      <c r="GS191" s="30"/>
      <c r="GT191" s="30"/>
      <c r="GU191" s="30"/>
      <c r="GV191" s="30"/>
      <c r="GW191" s="30"/>
      <c r="GX191" s="30"/>
      <c r="GY191" s="30"/>
      <c r="GZ191" s="30"/>
      <c r="HA191" s="30"/>
      <c r="HB191" s="30"/>
      <c r="HC191" s="30"/>
      <c r="HD191" s="30"/>
      <c r="HE191" s="30"/>
    </row>
    <row r="192">
      <c r="A192" s="9" t="s">
        <v>108</v>
      </c>
      <c r="B192" s="124">
        <f t="shared" si="12"/>
        <v>0</v>
      </c>
      <c r="C192" s="111">
        <f t="shared" si="13"/>
        <v>0</v>
      </c>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30"/>
      <c r="EJ192" s="30"/>
      <c r="EK192" s="30"/>
      <c r="EL192" s="30"/>
      <c r="EM192" s="30"/>
      <c r="EN192" s="30"/>
      <c r="EO192" s="30"/>
      <c r="EP192" s="30"/>
      <c r="EQ192" s="30"/>
      <c r="ER192" s="30"/>
      <c r="ES192" s="30"/>
      <c r="ET192" s="30"/>
      <c r="EU192" s="30"/>
      <c r="EV192" s="30"/>
      <c r="EW192" s="30"/>
      <c r="EX192" s="30"/>
      <c r="EY192" s="30"/>
      <c r="EZ192" s="30"/>
      <c r="FA192" s="30"/>
      <c r="FB192" s="30"/>
      <c r="FC192" s="30"/>
      <c r="FD192" s="30"/>
      <c r="FE192" s="30"/>
      <c r="FF192" s="30"/>
      <c r="FG192" s="30"/>
      <c r="FH192" s="30"/>
      <c r="FI192" s="30"/>
      <c r="FJ192" s="30"/>
      <c r="FK192" s="30"/>
      <c r="FL192" s="30"/>
      <c r="FM192" s="30"/>
      <c r="FN192" s="30"/>
      <c r="FO192" s="30"/>
      <c r="FP192" s="30"/>
      <c r="FQ192" s="30"/>
      <c r="FR192" s="30"/>
      <c r="FS192" s="30"/>
      <c r="FT192" s="30"/>
      <c r="FU192" s="30"/>
      <c r="FV192" s="30"/>
      <c r="FW192" s="30"/>
      <c r="FX192" s="30"/>
      <c r="FY192" s="30"/>
      <c r="FZ192" s="30"/>
      <c r="GA192" s="30"/>
      <c r="GB192" s="30"/>
      <c r="GC192" s="30"/>
      <c r="GD192" s="30"/>
      <c r="GE192" s="30"/>
      <c r="GF192" s="30"/>
      <c r="GG192" s="30"/>
      <c r="GH192" s="30"/>
      <c r="GI192" s="30"/>
      <c r="GJ192" s="30"/>
      <c r="GK192" s="30"/>
      <c r="GL192" s="30"/>
      <c r="GM192" s="30"/>
      <c r="GN192" s="30"/>
      <c r="GO192" s="30"/>
      <c r="GP192" s="30"/>
      <c r="GQ192" s="30"/>
      <c r="GR192" s="30"/>
      <c r="GS192" s="30"/>
      <c r="GT192" s="30"/>
      <c r="GU192" s="30"/>
      <c r="GV192" s="30"/>
      <c r="GW192" s="30"/>
      <c r="GX192" s="30"/>
      <c r="GY192" s="30"/>
      <c r="GZ192" s="30"/>
      <c r="HA192" s="30"/>
      <c r="HB192" s="30"/>
      <c r="HC192" s="30"/>
      <c r="HD192" s="30"/>
      <c r="HE192" s="30"/>
    </row>
    <row r="193">
      <c r="A193" s="91" t="s">
        <v>130</v>
      </c>
      <c r="B193" s="124">
        <f t="shared" si="12"/>
        <v>0.02298850575</v>
      </c>
      <c r="C193" s="111">
        <f t="shared" si="13"/>
        <v>2</v>
      </c>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30"/>
      <c r="EJ193" s="30"/>
      <c r="EK193" s="30"/>
      <c r="EL193" s="30"/>
      <c r="EM193" s="30"/>
      <c r="EN193" s="30"/>
      <c r="EO193" s="30"/>
      <c r="EP193" s="30"/>
      <c r="EQ193" s="30"/>
      <c r="ER193" s="30"/>
      <c r="ES193" s="30"/>
      <c r="ET193" s="30"/>
      <c r="EU193" s="30"/>
      <c r="EV193" s="30"/>
      <c r="EW193" s="30"/>
      <c r="EX193" s="30"/>
      <c r="EY193" s="30"/>
      <c r="EZ193" s="30"/>
      <c r="FA193" s="30"/>
      <c r="FB193" s="30"/>
      <c r="FC193" s="30"/>
      <c r="FD193" s="30"/>
      <c r="FE193" s="30"/>
      <c r="FF193" s="30"/>
      <c r="FG193" s="30"/>
      <c r="FH193" s="30"/>
      <c r="FI193" s="30"/>
      <c r="FJ193" s="30"/>
      <c r="FK193" s="30"/>
      <c r="FL193" s="30"/>
      <c r="FM193" s="30"/>
      <c r="FN193" s="30"/>
      <c r="FO193" s="30"/>
      <c r="FP193" s="30"/>
      <c r="FQ193" s="30"/>
      <c r="FR193" s="30"/>
      <c r="FS193" s="30"/>
      <c r="FT193" s="30"/>
      <c r="FU193" s="30"/>
      <c r="FV193" s="30"/>
      <c r="FW193" s="30"/>
      <c r="FX193" s="30"/>
      <c r="FY193" s="30"/>
      <c r="FZ193" s="30"/>
      <c r="GA193" s="30"/>
      <c r="GB193" s="30"/>
      <c r="GC193" s="87">
        <v>3.0</v>
      </c>
      <c r="GD193" s="87">
        <v>1.0</v>
      </c>
      <c r="GE193" s="30"/>
      <c r="GF193" s="30"/>
      <c r="GG193" s="30"/>
      <c r="GH193" s="30"/>
      <c r="GI193" s="30"/>
      <c r="GJ193" s="30"/>
      <c r="GK193" s="30"/>
      <c r="GL193" s="30"/>
      <c r="GM193" s="30"/>
      <c r="GN193" s="30"/>
      <c r="GO193" s="30"/>
      <c r="GP193" s="30"/>
      <c r="GQ193" s="30"/>
      <c r="GR193" s="30"/>
      <c r="GS193" s="30"/>
      <c r="GT193" s="30"/>
      <c r="GU193" s="30"/>
      <c r="GV193" s="30"/>
      <c r="GW193" s="30"/>
      <c r="GX193" s="30"/>
      <c r="GY193" s="30"/>
      <c r="GZ193" s="30"/>
      <c r="HA193" s="30"/>
      <c r="HB193" s="30"/>
      <c r="HC193" s="30"/>
      <c r="HD193" s="30"/>
      <c r="HE193" s="30"/>
    </row>
    <row r="194">
      <c r="A194" s="9" t="s">
        <v>88</v>
      </c>
      <c r="B194" s="124">
        <f t="shared" si="12"/>
        <v>0.03448275862</v>
      </c>
      <c r="C194" s="111">
        <f t="shared" si="13"/>
        <v>3</v>
      </c>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87">
        <v>1.0</v>
      </c>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87">
        <v>1.0</v>
      </c>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87">
        <v>1.0</v>
      </c>
      <c r="EE194" s="30"/>
      <c r="EF194" s="30"/>
      <c r="EG194" s="30"/>
      <c r="EH194" s="30"/>
      <c r="EI194" s="30"/>
      <c r="EJ194" s="30"/>
      <c r="EK194" s="30"/>
      <c r="EL194" s="30"/>
      <c r="EM194" s="30"/>
      <c r="EN194" s="30"/>
      <c r="EO194" s="30"/>
      <c r="EP194" s="30"/>
      <c r="EQ194" s="30"/>
      <c r="ER194" s="30"/>
      <c r="ES194" s="30"/>
      <c r="ET194" s="30"/>
      <c r="EU194" s="30"/>
      <c r="EV194" s="30"/>
      <c r="EW194" s="30"/>
      <c r="EX194" s="30"/>
      <c r="EY194" s="30"/>
      <c r="EZ194" s="30"/>
      <c r="FA194" s="30"/>
      <c r="FB194" s="30"/>
      <c r="FC194" s="30"/>
      <c r="FD194" s="30"/>
      <c r="FE194" s="30"/>
      <c r="FF194" s="30"/>
      <c r="FG194" s="30"/>
      <c r="FH194" s="30"/>
      <c r="FI194" s="30"/>
      <c r="FJ194" s="30"/>
      <c r="FK194" s="30"/>
      <c r="FL194" s="30"/>
      <c r="FM194" s="30"/>
      <c r="FN194" s="30"/>
      <c r="FO194" s="30"/>
      <c r="FP194" s="30"/>
      <c r="FQ194" s="30"/>
      <c r="FR194" s="30"/>
      <c r="FS194" s="30"/>
      <c r="FT194" s="30"/>
      <c r="FU194" s="30"/>
      <c r="FV194" s="30"/>
      <c r="FW194" s="30"/>
      <c r="FX194" s="30"/>
      <c r="FY194" s="30"/>
      <c r="FZ194" s="30"/>
      <c r="GA194" s="30"/>
      <c r="GB194" s="30"/>
      <c r="GC194" s="30"/>
      <c r="GD194" s="30"/>
      <c r="GE194" s="30"/>
      <c r="GF194" s="30"/>
      <c r="GG194" s="30"/>
      <c r="GH194" s="30"/>
      <c r="GI194" s="30"/>
      <c r="GJ194" s="30"/>
      <c r="GK194" s="30"/>
      <c r="GL194" s="30"/>
      <c r="GM194" s="30"/>
      <c r="GN194" s="30"/>
      <c r="GO194" s="30"/>
      <c r="GP194" s="30"/>
      <c r="GQ194" s="30"/>
      <c r="GR194" s="30"/>
      <c r="GS194" s="30"/>
      <c r="GT194" s="30"/>
      <c r="GU194" s="30"/>
      <c r="GV194" s="30"/>
      <c r="GW194" s="30"/>
      <c r="GX194" s="30"/>
      <c r="GY194" s="30"/>
      <c r="GZ194" s="30"/>
      <c r="HA194" s="30"/>
      <c r="HB194" s="30"/>
      <c r="HC194" s="30"/>
      <c r="HD194" s="30"/>
      <c r="HE194" s="30"/>
    </row>
    <row r="195">
      <c r="A195" s="9" t="s">
        <v>109</v>
      </c>
      <c r="B195" s="124">
        <f t="shared" si="12"/>
        <v>0</v>
      </c>
      <c r="C195" s="111">
        <f t="shared" si="13"/>
        <v>0</v>
      </c>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30"/>
      <c r="EJ195" s="30"/>
      <c r="EK195" s="30"/>
      <c r="EL195" s="30"/>
      <c r="EM195" s="30"/>
      <c r="EN195" s="30"/>
      <c r="EO195" s="30"/>
      <c r="EP195" s="30"/>
      <c r="EQ195" s="30"/>
      <c r="ER195" s="30"/>
      <c r="ES195" s="30"/>
      <c r="ET195" s="30"/>
      <c r="EU195" s="30"/>
      <c r="EV195" s="30"/>
      <c r="EW195" s="30"/>
      <c r="EX195" s="30"/>
      <c r="EY195" s="30"/>
      <c r="EZ195" s="30"/>
      <c r="FA195" s="30"/>
      <c r="FB195" s="30"/>
      <c r="FC195" s="30"/>
      <c r="FD195" s="30"/>
      <c r="FE195" s="30"/>
      <c r="FF195" s="30"/>
      <c r="FG195" s="30"/>
      <c r="FH195" s="30"/>
      <c r="FI195" s="30"/>
      <c r="FJ195" s="30"/>
      <c r="FK195" s="30"/>
      <c r="FL195" s="30"/>
      <c r="FM195" s="30"/>
      <c r="FN195" s="30"/>
      <c r="FO195" s="30"/>
      <c r="FP195" s="30"/>
      <c r="FQ195" s="30"/>
      <c r="FR195" s="30"/>
      <c r="FS195" s="30"/>
      <c r="FT195" s="30"/>
      <c r="FU195" s="30"/>
      <c r="FV195" s="30"/>
      <c r="FW195" s="30"/>
      <c r="FX195" s="30"/>
      <c r="FY195" s="30"/>
      <c r="FZ195" s="30"/>
      <c r="GA195" s="30"/>
      <c r="GB195" s="30"/>
      <c r="GC195" s="30"/>
      <c r="GD195" s="30"/>
      <c r="GE195" s="30"/>
      <c r="GF195" s="30"/>
      <c r="GG195" s="30"/>
      <c r="GH195" s="30"/>
      <c r="GI195" s="30"/>
      <c r="GJ195" s="30"/>
      <c r="GK195" s="30"/>
      <c r="GL195" s="30"/>
      <c r="GM195" s="30"/>
      <c r="GN195" s="30"/>
      <c r="GO195" s="30"/>
      <c r="GP195" s="30"/>
      <c r="GQ195" s="30"/>
      <c r="GR195" s="30"/>
      <c r="GS195" s="30"/>
      <c r="GT195" s="30"/>
      <c r="GU195" s="30"/>
      <c r="GV195" s="30"/>
      <c r="GW195" s="30"/>
      <c r="GX195" s="30"/>
      <c r="GY195" s="30"/>
      <c r="GZ195" s="30"/>
      <c r="HA195" s="30"/>
      <c r="HB195" s="30"/>
      <c r="HC195" s="30"/>
      <c r="HD195" s="30"/>
      <c r="HE195" s="30"/>
    </row>
    <row r="196">
      <c r="A196" s="9" t="s">
        <v>131</v>
      </c>
      <c r="B196" s="124">
        <f t="shared" si="12"/>
        <v>0.02298850575</v>
      </c>
      <c r="C196" s="111">
        <f t="shared" si="13"/>
        <v>2</v>
      </c>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87">
        <v>3.0</v>
      </c>
      <c r="EE196" s="30"/>
      <c r="EF196" s="30"/>
      <c r="EG196" s="30"/>
      <c r="EH196" s="30"/>
      <c r="EI196" s="30"/>
      <c r="EJ196" s="30"/>
      <c r="EK196" s="30"/>
      <c r="EL196" s="30"/>
      <c r="EM196" s="30"/>
      <c r="EN196" s="30"/>
      <c r="EO196" s="30"/>
      <c r="EP196" s="30"/>
      <c r="EQ196" s="30"/>
      <c r="ER196" s="30"/>
      <c r="ES196" s="30"/>
      <c r="ET196" s="30"/>
      <c r="EU196" s="30"/>
      <c r="EV196" s="30"/>
      <c r="EW196" s="30"/>
      <c r="EX196" s="30"/>
      <c r="EY196" s="30"/>
      <c r="EZ196" s="30"/>
      <c r="FA196" s="30"/>
      <c r="FB196" s="30"/>
      <c r="FC196" s="30"/>
      <c r="FD196" s="30"/>
      <c r="FE196" s="30"/>
      <c r="FF196" s="30"/>
      <c r="FG196" s="30"/>
      <c r="FH196" s="30"/>
      <c r="FI196" s="30"/>
      <c r="FJ196" s="30"/>
      <c r="FK196" s="30"/>
      <c r="FL196" s="30"/>
      <c r="FM196" s="30"/>
      <c r="FN196" s="30"/>
      <c r="FO196" s="30"/>
      <c r="FP196" s="30"/>
      <c r="FQ196" s="30"/>
      <c r="FR196" s="30"/>
      <c r="FS196" s="87">
        <v>2.0</v>
      </c>
      <c r="FT196" s="30"/>
      <c r="FU196" s="30"/>
      <c r="FV196" s="30"/>
      <c r="FW196" s="30"/>
      <c r="FX196" s="30"/>
      <c r="FY196" s="30"/>
      <c r="FZ196" s="30"/>
      <c r="GA196" s="30"/>
      <c r="GB196" s="30"/>
      <c r="GC196" s="30"/>
      <c r="GD196" s="30"/>
      <c r="GE196" s="30"/>
      <c r="GF196" s="30"/>
      <c r="GG196" s="30"/>
      <c r="GH196" s="30"/>
      <c r="GI196" s="30"/>
      <c r="GJ196" s="30"/>
      <c r="GK196" s="30"/>
      <c r="GL196" s="30"/>
      <c r="GM196" s="30"/>
      <c r="GN196" s="30"/>
      <c r="GO196" s="30"/>
      <c r="GP196" s="30"/>
      <c r="GQ196" s="30"/>
      <c r="GR196" s="30"/>
      <c r="GS196" s="30"/>
      <c r="GT196" s="30"/>
      <c r="GU196" s="30"/>
      <c r="GV196" s="30"/>
      <c r="GW196" s="30"/>
      <c r="GX196" s="30"/>
      <c r="GY196" s="30"/>
      <c r="GZ196" s="30"/>
      <c r="HA196" s="30"/>
      <c r="HB196" s="30"/>
      <c r="HC196" s="30"/>
      <c r="HD196" s="30"/>
      <c r="HE196" s="30"/>
    </row>
    <row r="197">
      <c r="A197" s="9" t="s">
        <v>89</v>
      </c>
      <c r="B197" s="124">
        <f t="shared" si="12"/>
        <v>0.03448275862</v>
      </c>
      <c r="C197" s="111">
        <f t="shared" si="13"/>
        <v>3</v>
      </c>
      <c r="D197" s="30"/>
      <c r="E197" s="30"/>
      <c r="F197" s="30"/>
      <c r="G197" s="30"/>
      <c r="H197" s="30"/>
      <c r="I197" s="30"/>
      <c r="J197" s="30"/>
      <c r="K197" s="30"/>
      <c r="L197" s="30"/>
      <c r="M197" s="30"/>
      <c r="N197" s="30"/>
      <c r="O197" s="30"/>
      <c r="P197" s="30"/>
      <c r="Q197" s="30"/>
      <c r="R197" s="30"/>
      <c r="S197" s="30"/>
      <c r="T197" s="30"/>
      <c r="U197" s="87">
        <v>5.0</v>
      </c>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87">
        <v>3.0</v>
      </c>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30"/>
      <c r="EO197" s="30"/>
      <c r="EP197" s="30"/>
      <c r="EQ197" s="30"/>
      <c r="ER197" s="30"/>
      <c r="ES197" s="30"/>
      <c r="ET197" s="30"/>
      <c r="EU197" s="30"/>
      <c r="EV197" s="30"/>
      <c r="EW197" s="30"/>
      <c r="EX197" s="30"/>
      <c r="EY197" s="30"/>
      <c r="EZ197" s="30"/>
      <c r="FA197" s="30"/>
      <c r="FB197" s="30"/>
      <c r="FC197" s="30"/>
      <c r="FD197" s="30"/>
      <c r="FE197" s="30"/>
      <c r="FF197" s="30"/>
      <c r="FG197" s="30"/>
      <c r="FH197" s="30"/>
      <c r="FI197" s="30"/>
      <c r="FJ197" s="30"/>
      <c r="FK197" s="30"/>
      <c r="FL197" s="30"/>
      <c r="FM197" s="30"/>
      <c r="FN197" s="30"/>
      <c r="FO197" s="30"/>
      <c r="FP197" s="30"/>
      <c r="FQ197" s="30"/>
      <c r="FR197" s="30"/>
      <c r="FS197" s="30"/>
      <c r="FT197" s="30"/>
      <c r="FU197" s="30"/>
      <c r="FV197" s="30"/>
      <c r="FW197" s="30"/>
      <c r="FX197" s="30"/>
      <c r="FY197" s="87">
        <v>1.0</v>
      </c>
      <c r="FZ197" s="30"/>
      <c r="GA197" s="30"/>
      <c r="GB197" s="30"/>
      <c r="GC197" s="30"/>
      <c r="GD197" s="30"/>
      <c r="GE197" s="30"/>
      <c r="GF197" s="30"/>
      <c r="GG197" s="30"/>
      <c r="GH197" s="30"/>
      <c r="GI197" s="30"/>
      <c r="GJ197" s="30"/>
      <c r="GK197" s="30"/>
      <c r="GL197" s="30"/>
      <c r="GM197" s="30"/>
      <c r="GN197" s="30"/>
      <c r="GO197" s="30"/>
      <c r="GP197" s="30"/>
      <c r="GQ197" s="30"/>
      <c r="GR197" s="30"/>
      <c r="GS197" s="30"/>
      <c r="GT197" s="30"/>
      <c r="GU197" s="30"/>
      <c r="GV197" s="30"/>
      <c r="GW197" s="30"/>
      <c r="GX197" s="30"/>
      <c r="GY197" s="30"/>
      <c r="GZ197" s="30"/>
      <c r="HA197" s="30"/>
      <c r="HB197" s="30"/>
      <c r="HC197" s="30"/>
      <c r="HD197" s="30"/>
      <c r="HE197" s="30"/>
    </row>
    <row r="198">
      <c r="A198" s="9" t="s">
        <v>110</v>
      </c>
      <c r="B198" s="124">
        <f t="shared" si="12"/>
        <v>0.01149425287</v>
      </c>
      <c r="C198" s="111">
        <f t="shared" si="13"/>
        <v>1</v>
      </c>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30"/>
      <c r="EJ198" s="30"/>
      <c r="EK198" s="30"/>
      <c r="EL198" s="30"/>
      <c r="EM198" s="30"/>
      <c r="EN198" s="30"/>
      <c r="EO198" s="30"/>
      <c r="EP198" s="30"/>
      <c r="EQ198" s="30"/>
      <c r="ER198" s="30"/>
      <c r="ES198" s="30"/>
      <c r="ET198" s="30"/>
      <c r="EU198" s="30"/>
      <c r="EV198" s="30"/>
      <c r="EW198" s="30"/>
      <c r="EX198" s="30"/>
      <c r="EY198" s="30"/>
      <c r="EZ198" s="30"/>
      <c r="FA198" s="30"/>
      <c r="FB198" s="30"/>
      <c r="FC198" s="30"/>
      <c r="FD198" s="30"/>
      <c r="FE198" s="30"/>
      <c r="FF198" s="30"/>
      <c r="FG198" s="30"/>
      <c r="FH198" s="30"/>
      <c r="FI198" s="30"/>
      <c r="FJ198" s="30"/>
      <c r="FK198" s="30"/>
      <c r="FL198" s="30"/>
      <c r="FM198" s="30"/>
      <c r="FN198" s="30"/>
      <c r="FO198" s="30"/>
      <c r="FP198" s="30"/>
      <c r="FQ198" s="30"/>
      <c r="FR198" s="30"/>
      <c r="FS198" s="30"/>
      <c r="FT198" s="30"/>
      <c r="FU198" s="30"/>
      <c r="FV198" s="30"/>
      <c r="FW198" s="30"/>
      <c r="FX198" s="87">
        <v>1.0</v>
      </c>
      <c r="FY198" s="30"/>
      <c r="FZ198" s="30"/>
      <c r="GA198" s="30"/>
      <c r="GB198" s="30"/>
      <c r="GC198" s="30"/>
      <c r="GD198" s="30"/>
      <c r="GE198" s="30"/>
      <c r="GF198" s="30"/>
      <c r="GG198" s="30"/>
      <c r="GH198" s="30"/>
      <c r="GI198" s="30"/>
      <c r="GJ198" s="30"/>
      <c r="GK198" s="30"/>
      <c r="GL198" s="30"/>
      <c r="GM198" s="30"/>
      <c r="GN198" s="30"/>
      <c r="GO198" s="30"/>
      <c r="GP198" s="30"/>
      <c r="GQ198" s="30"/>
      <c r="GR198" s="30"/>
      <c r="GS198" s="30"/>
      <c r="GT198" s="30"/>
      <c r="GU198" s="30"/>
      <c r="GV198" s="30"/>
      <c r="GW198" s="30"/>
      <c r="GX198" s="30"/>
      <c r="GY198" s="30"/>
      <c r="GZ198" s="30"/>
      <c r="HA198" s="30"/>
      <c r="HB198" s="30"/>
      <c r="HC198" s="30"/>
      <c r="HD198" s="30"/>
      <c r="HE198" s="30"/>
    </row>
    <row r="199">
      <c r="A199" s="91" t="s">
        <v>132</v>
      </c>
      <c r="B199" s="124">
        <f t="shared" si="12"/>
        <v>0.03448275862</v>
      </c>
      <c r="C199" s="111">
        <f t="shared" si="13"/>
        <v>3</v>
      </c>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87">
        <v>2.0</v>
      </c>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87">
        <v>1.0</v>
      </c>
      <c r="EE199" s="30"/>
      <c r="EF199" s="30"/>
      <c r="EG199" s="30"/>
      <c r="EH199" s="30"/>
      <c r="EI199" s="30"/>
      <c r="EJ199" s="30"/>
      <c r="EK199" s="30"/>
      <c r="EL199" s="30"/>
      <c r="EM199" s="30"/>
      <c r="EN199" s="30"/>
      <c r="EO199" s="30"/>
      <c r="EP199" s="30"/>
      <c r="EQ199" s="30"/>
      <c r="ER199" s="30"/>
      <c r="ES199" s="30"/>
      <c r="ET199" s="30"/>
      <c r="EU199" s="30"/>
      <c r="EV199" s="30"/>
      <c r="EW199" s="30"/>
      <c r="EX199" s="30"/>
      <c r="EY199" s="30"/>
      <c r="EZ199" s="30"/>
      <c r="FA199" s="30"/>
      <c r="FB199" s="30"/>
      <c r="FC199" s="30"/>
      <c r="FD199" s="30"/>
      <c r="FE199" s="30"/>
      <c r="FF199" s="30"/>
      <c r="FG199" s="30"/>
      <c r="FH199" s="30"/>
      <c r="FI199" s="30"/>
      <c r="FJ199" s="30"/>
      <c r="FK199" s="30"/>
      <c r="FL199" s="30"/>
      <c r="FM199" s="30"/>
      <c r="FN199" s="30"/>
      <c r="FO199" s="30"/>
      <c r="FP199" s="30"/>
      <c r="FQ199" s="30"/>
      <c r="FR199" s="30"/>
      <c r="FS199" s="30"/>
      <c r="FT199" s="30"/>
      <c r="FU199" s="87">
        <v>1.0</v>
      </c>
      <c r="FV199" s="30"/>
      <c r="FW199" s="30"/>
      <c r="FX199" s="30"/>
      <c r="FY199" s="30"/>
      <c r="FZ199" s="30"/>
      <c r="GA199" s="30"/>
      <c r="GB199" s="30"/>
      <c r="GC199" s="30"/>
      <c r="GD199" s="30"/>
      <c r="GE199" s="30"/>
      <c r="GF199" s="30"/>
      <c r="GG199" s="30"/>
      <c r="GH199" s="30"/>
      <c r="GI199" s="30"/>
      <c r="GJ199" s="30"/>
      <c r="GK199" s="30"/>
      <c r="GL199" s="30"/>
      <c r="GM199" s="30"/>
      <c r="GN199" s="30"/>
      <c r="GO199" s="30"/>
      <c r="GP199" s="30"/>
      <c r="GQ199" s="30"/>
      <c r="GR199" s="30"/>
      <c r="GS199" s="30"/>
      <c r="GT199" s="30"/>
      <c r="GU199" s="30"/>
      <c r="GV199" s="30"/>
      <c r="GW199" s="30"/>
      <c r="GX199" s="30"/>
      <c r="GY199" s="30"/>
      <c r="GZ199" s="30"/>
      <c r="HA199" s="30"/>
      <c r="HB199" s="30"/>
      <c r="HC199" s="30"/>
      <c r="HD199" s="30"/>
      <c r="HE199" s="30"/>
    </row>
    <row r="200">
      <c r="A200" s="9" t="s">
        <v>90</v>
      </c>
      <c r="B200" s="124">
        <f t="shared" si="12"/>
        <v>0.02298850575</v>
      </c>
      <c r="C200" s="111">
        <f t="shared" si="13"/>
        <v>2</v>
      </c>
      <c r="D200" s="30"/>
      <c r="E200" s="30"/>
      <c r="F200" s="30"/>
      <c r="G200" s="30"/>
      <c r="H200" s="30"/>
      <c r="I200" s="30"/>
      <c r="J200" s="30"/>
      <c r="K200" s="30"/>
      <c r="L200" s="30"/>
      <c r="M200" s="30"/>
      <c r="N200" s="30"/>
      <c r="O200" s="30"/>
      <c r="P200" s="30"/>
      <c r="Q200" s="30"/>
      <c r="R200" s="30"/>
      <c r="S200" s="30"/>
      <c r="T200" s="30"/>
      <c r="U200" s="87">
        <v>1.0</v>
      </c>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30"/>
      <c r="EJ200" s="30"/>
      <c r="EK200" s="30"/>
      <c r="EL200" s="30"/>
      <c r="EM200" s="30"/>
      <c r="EN200" s="30"/>
      <c r="EO200" s="30"/>
      <c r="EP200" s="30"/>
      <c r="EQ200" s="30"/>
      <c r="ER200" s="30"/>
      <c r="ES200" s="30"/>
      <c r="ET200" s="30"/>
      <c r="EU200" s="30"/>
      <c r="EV200" s="30"/>
      <c r="EW200" s="30"/>
      <c r="EX200" s="30"/>
      <c r="EY200" s="30"/>
      <c r="EZ200" s="30"/>
      <c r="FA200" s="30"/>
      <c r="FB200" s="30"/>
      <c r="FC200" s="30"/>
      <c r="FD200" s="30"/>
      <c r="FE200" s="30"/>
      <c r="FF200" s="30"/>
      <c r="FG200" s="30"/>
      <c r="FH200" s="30"/>
      <c r="FI200" s="30"/>
      <c r="FJ200" s="30"/>
      <c r="FK200" s="30"/>
      <c r="FL200" s="30"/>
      <c r="FM200" s="30"/>
      <c r="FN200" s="30"/>
      <c r="FO200" s="30"/>
      <c r="FP200" s="30"/>
      <c r="FQ200" s="30"/>
      <c r="FR200" s="30"/>
      <c r="FS200" s="30"/>
      <c r="FT200" s="30"/>
      <c r="FU200" s="30"/>
      <c r="FV200" s="30"/>
      <c r="FW200" s="30"/>
      <c r="FX200" s="30"/>
      <c r="FY200" s="30"/>
      <c r="FZ200" s="30"/>
      <c r="GA200" s="30"/>
      <c r="GB200" s="30"/>
      <c r="GC200" s="30"/>
      <c r="GD200" s="30"/>
      <c r="GE200" s="30"/>
      <c r="GF200" s="30"/>
      <c r="GG200" s="30"/>
      <c r="GH200" s="87">
        <v>5.0</v>
      </c>
      <c r="GI200" s="30"/>
      <c r="GJ200" s="30"/>
      <c r="GK200" s="30"/>
      <c r="GL200" s="30"/>
      <c r="GM200" s="30"/>
      <c r="GN200" s="30"/>
      <c r="GO200" s="30"/>
      <c r="GP200" s="30"/>
      <c r="GQ200" s="30"/>
      <c r="GR200" s="30"/>
      <c r="GS200" s="30"/>
      <c r="GT200" s="30"/>
      <c r="GU200" s="30"/>
      <c r="GV200" s="30"/>
      <c r="GW200" s="30"/>
      <c r="GX200" s="30"/>
      <c r="GY200" s="30"/>
      <c r="GZ200" s="30"/>
      <c r="HA200" s="30"/>
      <c r="HB200" s="30"/>
      <c r="HC200" s="30"/>
      <c r="HD200" s="30"/>
      <c r="HE200" s="30"/>
    </row>
    <row r="201">
      <c r="A201" s="9" t="s">
        <v>111</v>
      </c>
      <c r="B201" s="124">
        <f t="shared" si="12"/>
        <v>0</v>
      </c>
      <c r="C201" s="111">
        <f t="shared" si="13"/>
        <v>0</v>
      </c>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30"/>
      <c r="EO201" s="30"/>
      <c r="EP201" s="30"/>
      <c r="EQ201" s="30"/>
      <c r="ER201" s="30"/>
      <c r="ES201" s="30"/>
      <c r="ET201" s="30"/>
      <c r="EU201" s="30"/>
      <c r="EV201" s="30"/>
      <c r="EW201" s="30"/>
      <c r="EX201" s="30"/>
      <c r="EY201" s="30"/>
      <c r="EZ201" s="30"/>
      <c r="FA201" s="30"/>
      <c r="FB201" s="30"/>
      <c r="FC201" s="30"/>
      <c r="FD201" s="30"/>
      <c r="FE201" s="30"/>
      <c r="FF201" s="30"/>
      <c r="FG201" s="30"/>
      <c r="FH201" s="30"/>
      <c r="FI201" s="30"/>
      <c r="FJ201" s="30"/>
      <c r="FK201" s="30"/>
      <c r="FL201" s="30"/>
      <c r="FM201" s="30"/>
      <c r="FN201" s="30"/>
      <c r="FO201" s="30"/>
      <c r="FP201" s="30"/>
      <c r="FQ201" s="30"/>
      <c r="FR201" s="30"/>
      <c r="FS201" s="30"/>
      <c r="FT201" s="30"/>
      <c r="FU201" s="30"/>
      <c r="FV201" s="30"/>
      <c r="FW201" s="30"/>
      <c r="FX201" s="30"/>
      <c r="FY201" s="30"/>
      <c r="FZ201" s="30"/>
      <c r="GA201" s="30"/>
      <c r="GB201" s="30"/>
      <c r="GC201" s="30"/>
      <c r="GD201" s="30"/>
      <c r="GE201" s="30"/>
      <c r="GF201" s="30"/>
      <c r="GG201" s="30"/>
      <c r="GH201" s="30"/>
      <c r="GI201" s="30"/>
      <c r="GJ201" s="30"/>
      <c r="GK201" s="30"/>
      <c r="GL201" s="30"/>
      <c r="GM201" s="30"/>
      <c r="GN201" s="30"/>
      <c r="GO201" s="30"/>
      <c r="GP201" s="30"/>
      <c r="GQ201" s="30"/>
      <c r="GR201" s="30"/>
      <c r="GS201" s="30"/>
      <c r="GT201" s="30"/>
      <c r="GU201" s="30"/>
      <c r="GV201" s="30"/>
      <c r="GW201" s="30"/>
      <c r="GX201" s="30"/>
      <c r="GY201" s="30"/>
      <c r="GZ201" s="30"/>
      <c r="HA201" s="30"/>
      <c r="HB201" s="30"/>
      <c r="HC201" s="30"/>
      <c r="HD201" s="30"/>
      <c r="HE201" s="30"/>
    </row>
    <row r="202">
      <c r="A202" s="119" t="s">
        <v>133</v>
      </c>
      <c r="B202" s="124">
        <f t="shared" si="12"/>
        <v>0.02298850575</v>
      </c>
      <c r="C202" s="111">
        <f t="shared" si="13"/>
        <v>2</v>
      </c>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87">
        <v>2.0</v>
      </c>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87">
        <v>1.0</v>
      </c>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30"/>
      <c r="EO202" s="30"/>
      <c r="EP202" s="30"/>
      <c r="EQ202" s="30"/>
      <c r="ER202" s="30"/>
      <c r="ES202" s="30"/>
      <c r="ET202" s="30"/>
      <c r="EU202" s="30"/>
      <c r="EV202" s="30"/>
      <c r="EW202" s="30"/>
      <c r="EX202" s="30"/>
      <c r="EY202" s="30"/>
      <c r="EZ202" s="30"/>
      <c r="FA202" s="30"/>
      <c r="FB202" s="30"/>
      <c r="FC202" s="30"/>
      <c r="FD202" s="30"/>
      <c r="FE202" s="30"/>
      <c r="FF202" s="30"/>
      <c r="FG202" s="30"/>
      <c r="FH202" s="30"/>
      <c r="FI202" s="30"/>
      <c r="FJ202" s="30"/>
      <c r="FK202" s="30"/>
      <c r="FL202" s="30"/>
      <c r="FM202" s="30"/>
      <c r="FN202" s="30"/>
      <c r="FO202" s="30"/>
      <c r="FP202" s="30"/>
      <c r="FQ202" s="30"/>
      <c r="FR202" s="30"/>
      <c r="FS202" s="30"/>
      <c r="FT202" s="30"/>
      <c r="FU202" s="30"/>
      <c r="FV202" s="30"/>
      <c r="FW202" s="30"/>
      <c r="FX202" s="30"/>
      <c r="FY202" s="30"/>
      <c r="FZ202" s="30"/>
      <c r="GA202" s="30"/>
      <c r="GB202" s="30"/>
      <c r="GC202" s="30"/>
      <c r="GD202" s="30"/>
      <c r="GE202" s="30"/>
      <c r="GF202" s="30"/>
      <c r="GG202" s="30"/>
      <c r="GH202" s="30"/>
      <c r="GI202" s="30"/>
      <c r="GJ202" s="30"/>
      <c r="GK202" s="30"/>
      <c r="GL202" s="30"/>
      <c r="GM202" s="30"/>
      <c r="GN202" s="30"/>
      <c r="GO202" s="30"/>
      <c r="GP202" s="30"/>
      <c r="GQ202" s="30"/>
      <c r="GR202" s="30"/>
      <c r="GS202" s="30"/>
      <c r="GT202" s="30"/>
      <c r="GU202" s="30"/>
      <c r="GV202" s="30"/>
      <c r="GW202" s="30"/>
      <c r="GX202" s="30"/>
      <c r="GY202" s="30"/>
      <c r="GZ202" s="30"/>
      <c r="HA202" s="30"/>
      <c r="HB202" s="30"/>
      <c r="HC202" s="30"/>
      <c r="HD202" s="30"/>
      <c r="HE202" s="30"/>
    </row>
    <row r="203">
      <c r="A203" s="9" t="s">
        <v>91</v>
      </c>
      <c r="B203" s="124">
        <f t="shared" si="12"/>
        <v>0.01149425287</v>
      </c>
      <c r="C203" s="111">
        <f t="shared" si="13"/>
        <v>1</v>
      </c>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30"/>
      <c r="EO203" s="30"/>
      <c r="EP203" s="30"/>
      <c r="EQ203" s="30"/>
      <c r="ER203" s="30"/>
      <c r="ES203" s="30"/>
      <c r="ET203" s="30"/>
      <c r="EU203" s="87">
        <v>5.0</v>
      </c>
      <c r="EV203" s="30"/>
      <c r="EW203" s="30"/>
      <c r="EX203" s="30"/>
      <c r="EY203" s="30"/>
      <c r="EZ203" s="30"/>
      <c r="FA203" s="30"/>
      <c r="FB203" s="30"/>
      <c r="FC203" s="30"/>
      <c r="FD203" s="30"/>
      <c r="FE203" s="30"/>
      <c r="FF203" s="30"/>
      <c r="FG203" s="30"/>
      <c r="FH203" s="30"/>
      <c r="FI203" s="30"/>
      <c r="FJ203" s="30"/>
      <c r="FK203" s="30"/>
      <c r="FL203" s="30"/>
      <c r="FM203" s="30"/>
      <c r="FN203" s="30"/>
      <c r="FO203" s="30"/>
      <c r="FP203" s="30"/>
      <c r="FQ203" s="30"/>
      <c r="FR203" s="30"/>
      <c r="FS203" s="30"/>
      <c r="FT203" s="30"/>
      <c r="FU203" s="30"/>
      <c r="FV203" s="30"/>
      <c r="FW203" s="30"/>
      <c r="FX203" s="30"/>
      <c r="FY203" s="30"/>
      <c r="FZ203" s="30"/>
      <c r="GA203" s="30"/>
      <c r="GB203" s="30"/>
      <c r="GC203" s="30"/>
      <c r="GD203" s="30"/>
      <c r="GE203" s="30"/>
      <c r="GF203" s="30"/>
      <c r="GG203" s="30"/>
      <c r="GH203" s="30"/>
      <c r="GI203" s="30"/>
      <c r="GJ203" s="30"/>
      <c r="GK203" s="30"/>
      <c r="GL203" s="30"/>
      <c r="GM203" s="30"/>
      <c r="GN203" s="30"/>
      <c r="GO203" s="30"/>
      <c r="GP203" s="30"/>
      <c r="GQ203" s="30"/>
      <c r="GR203" s="30"/>
      <c r="GS203" s="30"/>
      <c r="GT203" s="30"/>
      <c r="GU203" s="30"/>
      <c r="GV203" s="30"/>
      <c r="GW203" s="30"/>
      <c r="GX203" s="30"/>
      <c r="GY203" s="30"/>
      <c r="GZ203" s="30"/>
      <c r="HA203" s="30"/>
      <c r="HB203" s="30"/>
      <c r="HC203" s="30"/>
      <c r="HD203" s="30"/>
      <c r="HE203" s="30"/>
    </row>
    <row r="204">
      <c r="A204" s="9" t="s">
        <v>112</v>
      </c>
      <c r="B204" s="124">
        <f t="shared" si="12"/>
        <v>0.01149425287</v>
      </c>
      <c r="C204" s="111">
        <f t="shared" si="13"/>
        <v>1</v>
      </c>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30"/>
      <c r="EJ204" s="30"/>
      <c r="EK204" s="30"/>
      <c r="EL204" s="30"/>
      <c r="EM204" s="30"/>
      <c r="EN204" s="30"/>
      <c r="EO204" s="30"/>
      <c r="EP204" s="30"/>
      <c r="EQ204" s="30"/>
      <c r="ER204" s="30"/>
      <c r="ES204" s="30"/>
      <c r="ET204" s="30"/>
      <c r="EU204" s="30"/>
      <c r="EV204" s="30"/>
      <c r="EW204" s="30"/>
      <c r="EX204" s="30"/>
      <c r="EY204" s="30"/>
      <c r="EZ204" s="30"/>
      <c r="FA204" s="30"/>
      <c r="FB204" s="30"/>
      <c r="FC204" s="30"/>
      <c r="FD204" s="30"/>
      <c r="FE204" s="30"/>
      <c r="FF204" s="30"/>
      <c r="FG204" s="30"/>
      <c r="FH204" s="30"/>
      <c r="FI204" s="30"/>
      <c r="FJ204" s="30"/>
      <c r="FK204" s="30"/>
      <c r="FL204" s="30"/>
      <c r="FM204" s="30"/>
      <c r="FN204" s="30"/>
      <c r="FO204" s="30"/>
      <c r="FP204" s="30"/>
      <c r="FQ204" s="30"/>
      <c r="FR204" s="30"/>
      <c r="FS204" s="30"/>
      <c r="FT204" s="30"/>
      <c r="FU204" s="30"/>
      <c r="FV204" s="30"/>
      <c r="FW204" s="30"/>
      <c r="FX204" s="30"/>
      <c r="FY204" s="30"/>
      <c r="FZ204" s="30"/>
      <c r="GA204" s="30"/>
      <c r="GB204" s="30"/>
      <c r="GC204" s="87">
        <v>2.0</v>
      </c>
      <c r="GD204" s="30"/>
      <c r="GE204" s="30"/>
      <c r="GF204" s="30"/>
      <c r="GG204" s="30"/>
      <c r="GH204" s="30"/>
      <c r="GI204" s="30"/>
      <c r="GJ204" s="30"/>
      <c r="GK204" s="30"/>
      <c r="GL204" s="30"/>
      <c r="GM204" s="30"/>
      <c r="GN204" s="30"/>
      <c r="GO204" s="30"/>
      <c r="GP204" s="30"/>
      <c r="GQ204" s="30"/>
      <c r="GR204" s="30"/>
      <c r="GS204" s="30"/>
      <c r="GT204" s="30"/>
      <c r="GU204" s="30"/>
      <c r="GV204" s="30"/>
      <c r="GW204" s="30"/>
      <c r="GX204" s="30"/>
      <c r="GY204" s="30"/>
      <c r="GZ204" s="30"/>
      <c r="HA204" s="30"/>
      <c r="HB204" s="30"/>
      <c r="HC204" s="30"/>
      <c r="HD204" s="30"/>
      <c r="HE204" s="30"/>
    </row>
    <row r="205">
      <c r="A205" s="91" t="s">
        <v>135</v>
      </c>
      <c r="B205" s="124">
        <f t="shared" si="12"/>
        <v>0.02298850575</v>
      </c>
      <c r="C205" s="111">
        <f t="shared" si="13"/>
        <v>2</v>
      </c>
      <c r="D205" s="30"/>
      <c r="E205" s="30"/>
      <c r="F205" s="30"/>
      <c r="G205" s="30"/>
      <c r="H205" s="30"/>
      <c r="I205" s="30"/>
      <c r="J205" s="30"/>
      <c r="K205" s="30"/>
      <c r="L205" s="30"/>
      <c r="M205" s="30"/>
      <c r="N205" s="30"/>
      <c r="O205" s="30"/>
      <c r="P205" s="30"/>
      <c r="Q205" s="87">
        <v>1.0</v>
      </c>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30"/>
      <c r="EJ205" s="30"/>
      <c r="EK205" s="30"/>
      <c r="EL205" s="30"/>
      <c r="EM205" s="30"/>
      <c r="EN205" s="30"/>
      <c r="EO205" s="30"/>
      <c r="EP205" s="30"/>
      <c r="EQ205" s="30"/>
      <c r="ER205" s="30"/>
      <c r="ES205" s="30"/>
      <c r="ET205" s="30"/>
      <c r="EU205" s="30"/>
      <c r="EV205" s="30"/>
      <c r="EW205" s="30"/>
      <c r="EX205" s="30"/>
      <c r="EY205" s="30"/>
      <c r="EZ205" s="30"/>
      <c r="FA205" s="30"/>
      <c r="FB205" s="30"/>
      <c r="FC205" s="30"/>
      <c r="FD205" s="30"/>
      <c r="FE205" s="30"/>
      <c r="FF205" s="30"/>
      <c r="FG205" s="30"/>
      <c r="FH205" s="30"/>
      <c r="FI205" s="30"/>
      <c r="FJ205" s="30"/>
      <c r="FK205" s="30"/>
      <c r="FL205" s="30"/>
      <c r="FM205" s="30"/>
      <c r="FN205" s="30"/>
      <c r="FO205" s="30"/>
      <c r="FP205" s="30"/>
      <c r="FQ205" s="30"/>
      <c r="FR205" s="30"/>
      <c r="FS205" s="30"/>
      <c r="FT205" s="30"/>
      <c r="FU205" s="30"/>
      <c r="FV205" s="30"/>
      <c r="FW205" s="87">
        <v>1.0</v>
      </c>
      <c r="FX205" s="30"/>
      <c r="FY205" s="30"/>
      <c r="FZ205" s="30"/>
      <c r="GA205" s="30"/>
      <c r="GB205" s="30"/>
      <c r="GC205" s="30"/>
      <c r="GD205" s="30"/>
      <c r="GE205" s="30"/>
      <c r="GF205" s="30"/>
      <c r="GG205" s="30"/>
      <c r="GH205" s="30"/>
      <c r="GI205" s="30"/>
      <c r="GJ205" s="30"/>
      <c r="GK205" s="30"/>
      <c r="GL205" s="30"/>
      <c r="GM205" s="30"/>
      <c r="GN205" s="30"/>
      <c r="GO205" s="30"/>
      <c r="GP205" s="30"/>
      <c r="GQ205" s="30"/>
      <c r="GR205" s="30"/>
      <c r="GS205" s="30"/>
      <c r="GT205" s="30"/>
      <c r="GU205" s="30"/>
      <c r="GV205" s="30"/>
      <c r="GW205" s="30"/>
      <c r="GX205" s="30"/>
      <c r="GY205" s="30"/>
      <c r="GZ205" s="30"/>
      <c r="HA205" s="30"/>
      <c r="HB205" s="30"/>
      <c r="HC205" s="30"/>
      <c r="HD205" s="30"/>
      <c r="HE205" s="30"/>
    </row>
    <row r="206">
      <c r="A206" s="9" t="s">
        <v>92</v>
      </c>
      <c r="B206" s="124">
        <f t="shared" si="12"/>
        <v>0.02298850575</v>
      </c>
      <c r="C206" s="111">
        <f t="shared" si="13"/>
        <v>2</v>
      </c>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87">
        <v>1.0</v>
      </c>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30"/>
      <c r="EJ206" s="30"/>
      <c r="EK206" s="30"/>
      <c r="EL206" s="30"/>
      <c r="EM206" s="30"/>
      <c r="EN206" s="30"/>
      <c r="EO206" s="30"/>
      <c r="EP206" s="30"/>
      <c r="EQ206" s="30"/>
      <c r="ER206" s="30"/>
      <c r="ES206" s="30"/>
      <c r="ET206" s="30"/>
      <c r="EU206" s="30"/>
      <c r="EV206" s="30"/>
      <c r="EW206" s="30"/>
      <c r="EX206" s="30"/>
      <c r="EY206" s="30"/>
      <c r="EZ206" s="30"/>
      <c r="FA206" s="30"/>
      <c r="FB206" s="30"/>
      <c r="FC206" s="30"/>
      <c r="FD206" s="30"/>
      <c r="FE206" s="30"/>
      <c r="FF206" s="30"/>
      <c r="FG206" s="30"/>
      <c r="FH206" s="30"/>
      <c r="FI206" s="30"/>
      <c r="FJ206" s="30"/>
      <c r="FK206" s="30"/>
      <c r="FL206" s="30"/>
      <c r="FM206" s="30"/>
      <c r="FN206" s="30"/>
      <c r="FO206" s="30"/>
      <c r="FP206" s="30"/>
      <c r="FQ206" s="30"/>
      <c r="FR206" s="30"/>
      <c r="FS206" s="30"/>
      <c r="FT206" s="30"/>
      <c r="FU206" s="30"/>
      <c r="FV206" s="30"/>
      <c r="FW206" s="30"/>
      <c r="FX206" s="30"/>
      <c r="FY206" s="30"/>
      <c r="FZ206" s="30"/>
      <c r="GA206" s="30"/>
      <c r="GB206" s="30"/>
      <c r="GC206" s="30"/>
      <c r="GD206" s="30"/>
      <c r="GE206" s="30"/>
      <c r="GF206" s="30"/>
      <c r="GG206" s="30"/>
      <c r="GH206" s="30"/>
      <c r="GI206" s="30"/>
      <c r="GJ206" s="30"/>
      <c r="GK206" s="30"/>
      <c r="GL206" s="30"/>
      <c r="GM206" s="30"/>
      <c r="GN206" s="30"/>
      <c r="GO206" s="30"/>
      <c r="GP206" s="30"/>
      <c r="GQ206" s="87" t="s">
        <v>333</v>
      </c>
      <c r="GR206" s="30"/>
      <c r="GS206" s="30"/>
      <c r="GT206" s="30"/>
      <c r="GU206" s="30"/>
      <c r="GV206" s="30"/>
      <c r="GW206" s="30"/>
      <c r="GX206" s="30"/>
      <c r="GY206" s="30"/>
      <c r="GZ206" s="30"/>
      <c r="HA206" s="30"/>
      <c r="HB206" s="30"/>
      <c r="HC206" s="30"/>
      <c r="HD206" s="30"/>
      <c r="HE206" s="30"/>
    </row>
    <row r="207">
      <c r="A207" s="9" t="s">
        <v>113</v>
      </c>
      <c r="B207" s="124">
        <f t="shared" si="12"/>
        <v>0.04597701149</v>
      </c>
      <c r="C207" s="111">
        <f t="shared" si="13"/>
        <v>4</v>
      </c>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87" t="s">
        <v>334</v>
      </c>
      <c r="AF207" s="87">
        <v>1.0</v>
      </c>
      <c r="AG207" s="30"/>
      <c r="AH207" s="30"/>
      <c r="AI207" s="30"/>
      <c r="AJ207" s="30"/>
      <c r="AK207" s="30"/>
      <c r="AL207" s="30"/>
      <c r="AM207" s="30"/>
      <c r="AN207" s="30"/>
      <c r="AO207" s="30"/>
      <c r="AP207" s="30"/>
      <c r="AQ207" s="30"/>
      <c r="AR207" s="30"/>
      <c r="AS207" s="30"/>
      <c r="AT207" s="30"/>
      <c r="AU207" s="87">
        <v>1.0</v>
      </c>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30"/>
      <c r="EJ207" s="30"/>
      <c r="EK207" s="30"/>
      <c r="EL207" s="30"/>
      <c r="EM207" s="30"/>
      <c r="EN207" s="30"/>
      <c r="EO207" s="30"/>
      <c r="EP207" s="30"/>
      <c r="EQ207" s="30"/>
      <c r="ER207" s="30"/>
      <c r="ES207" s="30"/>
      <c r="ET207" s="30"/>
      <c r="EU207" s="87">
        <v>5.0</v>
      </c>
      <c r="EV207" s="30"/>
      <c r="EW207" s="30"/>
      <c r="EX207" s="30"/>
      <c r="EY207" s="30"/>
      <c r="EZ207" s="30"/>
      <c r="FA207" s="30"/>
      <c r="FB207" s="30"/>
      <c r="FC207" s="30"/>
      <c r="FD207" s="30"/>
      <c r="FE207" s="30"/>
      <c r="FF207" s="30"/>
      <c r="FG207" s="30"/>
      <c r="FH207" s="30"/>
      <c r="FI207" s="30"/>
      <c r="FJ207" s="30"/>
      <c r="FK207" s="30"/>
      <c r="FL207" s="30"/>
      <c r="FM207" s="30"/>
      <c r="FN207" s="30"/>
      <c r="FO207" s="30"/>
      <c r="FP207" s="30"/>
      <c r="FQ207" s="30"/>
      <c r="FR207" s="30"/>
      <c r="FS207" s="30"/>
      <c r="FT207" s="30"/>
      <c r="FU207" s="30"/>
      <c r="FV207" s="30"/>
      <c r="FW207" s="30"/>
      <c r="FX207" s="30"/>
      <c r="FY207" s="30"/>
      <c r="FZ207" s="30"/>
      <c r="GA207" s="30"/>
      <c r="GB207" s="30"/>
      <c r="GC207" s="30"/>
      <c r="GD207" s="30"/>
      <c r="GE207" s="30"/>
      <c r="GF207" s="30"/>
      <c r="GG207" s="30"/>
      <c r="GH207" s="30"/>
      <c r="GI207" s="30"/>
      <c r="GJ207" s="30"/>
      <c r="GK207" s="30"/>
      <c r="GL207" s="30"/>
      <c r="GM207" s="30"/>
      <c r="GN207" s="30"/>
      <c r="GO207" s="30"/>
      <c r="GP207" s="30"/>
      <c r="GQ207" s="30"/>
      <c r="GR207" s="30"/>
      <c r="GS207" s="30"/>
      <c r="GT207" s="30"/>
      <c r="GU207" s="30"/>
      <c r="GV207" s="30"/>
      <c r="GW207" s="30"/>
      <c r="GX207" s="30"/>
      <c r="GY207" s="30"/>
      <c r="GZ207" s="30"/>
      <c r="HA207" s="30"/>
      <c r="HB207" s="30"/>
      <c r="HC207" s="30"/>
      <c r="HD207" s="30"/>
      <c r="HE207" s="30"/>
    </row>
    <row r="208">
      <c r="A208" s="9" t="s">
        <v>136</v>
      </c>
      <c r="B208" s="124">
        <f t="shared" si="12"/>
        <v>0</v>
      </c>
      <c r="C208" s="111">
        <f t="shared" si="13"/>
        <v>0</v>
      </c>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30"/>
      <c r="EJ208" s="30"/>
      <c r="EK208" s="30"/>
      <c r="EL208" s="30"/>
      <c r="EM208" s="30"/>
      <c r="EN208" s="30"/>
      <c r="EO208" s="30"/>
      <c r="EP208" s="30"/>
      <c r="EQ208" s="30"/>
      <c r="ER208" s="30"/>
      <c r="ES208" s="30"/>
      <c r="ET208" s="30"/>
      <c r="EU208" s="30"/>
      <c r="EV208" s="30"/>
      <c r="EW208" s="30"/>
      <c r="EX208" s="30"/>
      <c r="EY208" s="30"/>
      <c r="EZ208" s="30"/>
      <c r="FA208" s="30"/>
      <c r="FB208" s="30"/>
      <c r="FC208" s="30"/>
      <c r="FD208" s="30"/>
      <c r="FE208" s="30"/>
      <c r="FF208" s="30"/>
      <c r="FG208" s="30"/>
      <c r="FH208" s="30"/>
      <c r="FI208" s="30"/>
      <c r="FJ208" s="30"/>
      <c r="FK208" s="30"/>
      <c r="FL208" s="30"/>
      <c r="FM208" s="30"/>
      <c r="FN208" s="30"/>
      <c r="FO208" s="30"/>
      <c r="FP208" s="30"/>
      <c r="FQ208" s="30"/>
      <c r="FR208" s="30"/>
      <c r="FS208" s="30"/>
      <c r="FT208" s="30"/>
      <c r="FU208" s="30"/>
      <c r="FV208" s="30"/>
      <c r="FW208" s="30"/>
      <c r="FX208" s="30"/>
      <c r="FY208" s="30"/>
      <c r="FZ208" s="30"/>
      <c r="GA208" s="30"/>
      <c r="GB208" s="30"/>
      <c r="GC208" s="30"/>
      <c r="GD208" s="30"/>
      <c r="GE208" s="30"/>
      <c r="GF208" s="30"/>
      <c r="GG208" s="30"/>
      <c r="GH208" s="30"/>
      <c r="GI208" s="30"/>
      <c r="GJ208" s="30"/>
      <c r="GK208" s="30"/>
      <c r="GL208" s="30"/>
      <c r="GM208" s="30"/>
      <c r="GN208" s="30"/>
      <c r="GO208" s="30"/>
      <c r="GP208" s="30"/>
      <c r="GQ208" s="30"/>
      <c r="GR208" s="30"/>
      <c r="GS208" s="30"/>
      <c r="GT208" s="30"/>
      <c r="GU208" s="30"/>
      <c r="GV208" s="30"/>
      <c r="GW208" s="30"/>
      <c r="GX208" s="30"/>
      <c r="GY208" s="30"/>
      <c r="GZ208" s="30"/>
      <c r="HA208" s="30"/>
      <c r="HB208" s="30"/>
      <c r="HC208" s="30"/>
      <c r="HD208" s="30"/>
      <c r="HE208" s="30"/>
    </row>
    <row r="209">
      <c r="A209" s="9" t="s">
        <v>93</v>
      </c>
      <c r="B209" s="124">
        <f t="shared" si="12"/>
        <v>0.01149425287</v>
      </c>
      <c r="C209" s="111">
        <f t="shared" si="13"/>
        <v>1</v>
      </c>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87">
        <v>1.0</v>
      </c>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30"/>
      <c r="EJ209" s="30"/>
      <c r="EK209" s="30"/>
      <c r="EL209" s="30"/>
      <c r="EM209" s="30"/>
      <c r="EN209" s="30"/>
      <c r="EO209" s="30"/>
      <c r="EP209" s="30"/>
      <c r="EQ209" s="30"/>
      <c r="ER209" s="30"/>
      <c r="ES209" s="30"/>
      <c r="ET209" s="30"/>
      <c r="EU209" s="30"/>
      <c r="EV209" s="30"/>
      <c r="EW209" s="30"/>
      <c r="EX209" s="30"/>
      <c r="EY209" s="30"/>
      <c r="EZ209" s="30"/>
      <c r="FA209" s="30"/>
      <c r="FB209" s="30"/>
      <c r="FC209" s="30"/>
      <c r="FD209" s="30"/>
      <c r="FE209" s="30"/>
      <c r="FF209" s="30"/>
      <c r="FG209" s="30"/>
      <c r="FH209" s="30"/>
      <c r="FI209" s="30"/>
      <c r="FJ209" s="30"/>
      <c r="FK209" s="30"/>
      <c r="FL209" s="30"/>
      <c r="FM209" s="30"/>
      <c r="FN209" s="30"/>
      <c r="FO209" s="30"/>
      <c r="FP209" s="30"/>
      <c r="FQ209" s="30"/>
      <c r="FR209" s="30"/>
      <c r="FS209" s="30"/>
      <c r="FT209" s="30"/>
      <c r="FU209" s="30"/>
      <c r="FV209" s="30"/>
      <c r="FW209" s="30"/>
      <c r="FX209" s="30"/>
      <c r="FY209" s="30"/>
      <c r="FZ209" s="30"/>
      <c r="GA209" s="30"/>
      <c r="GB209" s="30"/>
      <c r="GC209" s="30"/>
      <c r="GD209" s="30"/>
      <c r="GE209" s="30"/>
      <c r="GF209" s="30"/>
      <c r="GG209" s="30"/>
      <c r="GH209" s="30"/>
      <c r="GI209" s="30"/>
      <c r="GJ209" s="30"/>
      <c r="GK209" s="30"/>
      <c r="GL209" s="30"/>
      <c r="GM209" s="30"/>
      <c r="GN209" s="30"/>
      <c r="GO209" s="30"/>
      <c r="GP209" s="30"/>
      <c r="GQ209" s="30"/>
      <c r="GR209" s="30"/>
      <c r="GS209" s="30"/>
      <c r="GT209" s="30"/>
      <c r="GU209" s="30"/>
      <c r="GV209" s="30"/>
      <c r="GW209" s="30"/>
      <c r="GX209" s="30"/>
      <c r="GY209" s="30"/>
      <c r="GZ209" s="30"/>
      <c r="HA209" s="30"/>
      <c r="HB209" s="30"/>
      <c r="HC209" s="30"/>
      <c r="HD209" s="30"/>
      <c r="HE209" s="30"/>
    </row>
    <row r="210">
      <c r="A210" s="9" t="s">
        <v>114</v>
      </c>
      <c r="B210" s="124">
        <f t="shared" si="12"/>
        <v>0.02298850575</v>
      </c>
      <c r="C210" s="111">
        <f t="shared" si="13"/>
        <v>2</v>
      </c>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87">
        <v>1.0</v>
      </c>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30"/>
      <c r="EJ210" s="30"/>
      <c r="EK210" s="30"/>
      <c r="EL210" s="30"/>
      <c r="EM210" s="87">
        <v>4.0</v>
      </c>
      <c r="EN210" s="30"/>
      <c r="EO210" s="30"/>
      <c r="EP210" s="30"/>
      <c r="EQ210" s="30"/>
      <c r="ER210" s="30"/>
      <c r="ES210" s="30"/>
      <c r="ET210" s="30"/>
      <c r="EU210" s="30"/>
      <c r="EV210" s="30"/>
      <c r="EW210" s="30"/>
      <c r="EX210" s="30"/>
      <c r="EY210" s="30"/>
      <c r="EZ210" s="30"/>
      <c r="FA210" s="30"/>
      <c r="FB210" s="30"/>
      <c r="FC210" s="30"/>
      <c r="FD210" s="30"/>
      <c r="FE210" s="30"/>
      <c r="FF210" s="30"/>
      <c r="FG210" s="30"/>
      <c r="FH210" s="30"/>
      <c r="FI210" s="30"/>
      <c r="FJ210" s="30"/>
      <c r="FK210" s="30"/>
      <c r="FL210" s="30"/>
      <c r="FM210" s="30"/>
      <c r="FN210" s="30"/>
      <c r="FO210" s="30"/>
      <c r="FP210" s="30"/>
      <c r="FQ210" s="30"/>
      <c r="FR210" s="30"/>
      <c r="FS210" s="30"/>
      <c r="FT210" s="30"/>
      <c r="FU210" s="30"/>
      <c r="FV210" s="30"/>
      <c r="FW210" s="30"/>
      <c r="FX210" s="30"/>
      <c r="FY210" s="30"/>
      <c r="FZ210" s="30"/>
      <c r="GA210" s="30"/>
      <c r="GB210" s="30"/>
      <c r="GC210" s="30"/>
      <c r="GD210" s="30"/>
      <c r="GE210" s="30"/>
      <c r="GF210" s="30"/>
      <c r="GG210" s="30"/>
      <c r="GH210" s="30"/>
      <c r="GI210" s="30"/>
      <c r="GJ210" s="30"/>
      <c r="GK210" s="30"/>
      <c r="GL210" s="30"/>
      <c r="GM210" s="30"/>
      <c r="GN210" s="30"/>
      <c r="GO210" s="30"/>
      <c r="GP210" s="30"/>
      <c r="GQ210" s="30"/>
      <c r="GR210" s="30"/>
      <c r="GS210" s="30"/>
      <c r="GT210" s="30"/>
      <c r="GU210" s="30"/>
      <c r="GV210" s="30"/>
      <c r="GW210" s="30"/>
      <c r="GX210" s="30"/>
      <c r="GY210" s="30"/>
      <c r="GZ210" s="30"/>
      <c r="HA210" s="30"/>
      <c r="HB210" s="30"/>
      <c r="HC210" s="30"/>
      <c r="HD210" s="30"/>
      <c r="HE210" s="30"/>
    </row>
    <row r="211">
      <c r="A211" s="91" t="s">
        <v>137</v>
      </c>
      <c r="B211" s="124">
        <f t="shared" si="12"/>
        <v>0.05747126437</v>
      </c>
      <c r="C211" s="111">
        <f t="shared" si="13"/>
        <v>5</v>
      </c>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87">
        <v>2.0</v>
      </c>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30"/>
      <c r="EJ211" s="30"/>
      <c r="EK211" s="30"/>
      <c r="EL211" s="30"/>
      <c r="EM211" s="30"/>
      <c r="EN211" s="30"/>
      <c r="EO211" s="30"/>
      <c r="EP211" s="30"/>
      <c r="EQ211" s="30"/>
      <c r="ER211" s="30"/>
      <c r="ES211" s="30"/>
      <c r="ET211" s="30"/>
      <c r="EU211" s="30"/>
      <c r="EV211" s="30"/>
      <c r="EW211" s="30"/>
      <c r="EX211" s="30"/>
      <c r="EY211" s="30"/>
      <c r="EZ211" s="30"/>
      <c r="FA211" s="30"/>
      <c r="FB211" s="30"/>
      <c r="FC211" s="30"/>
      <c r="FD211" s="30"/>
      <c r="FE211" s="30"/>
      <c r="FF211" s="30"/>
      <c r="FG211" s="30"/>
      <c r="FH211" s="30"/>
      <c r="FI211" s="30"/>
      <c r="FJ211" s="30"/>
      <c r="FK211" s="30"/>
      <c r="FL211" s="30"/>
      <c r="FM211" s="30"/>
      <c r="FN211" s="30"/>
      <c r="FO211" s="30"/>
      <c r="FP211" s="30"/>
      <c r="FQ211" s="87">
        <v>3.0</v>
      </c>
      <c r="FR211" s="30"/>
      <c r="FS211" s="30"/>
      <c r="FT211" s="30"/>
      <c r="FU211" s="30"/>
      <c r="FV211" s="30"/>
      <c r="FW211" s="30"/>
      <c r="FX211" s="30"/>
      <c r="FY211" s="30"/>
      <c r="FZ211" s="30"/>
      <c r="GA211" s="30"/>
      <c r="GB211" s="30"/>
      <c r="GC211" s="30"/>
      <c r="GD211" s="87">
        <v>5.0</v>
      </c>
      <c r="GE211" s="30"/>
      <c r="GF211" s="30"/>
      <c r="GG211" s="30"/>
      <c r="GH211" s="30"/>
      <c r="GI211" s="87">
        <v>1.0</v>
      </c>
      <c r="GJ211" s="30"/>
      <c r="GK211" s="30"/>
      <c r="GL211" s="30"/>
      <c r="GM211" s="30"/>
      <c r="GN211" s="30"/>
      <c r="GO211" s="30"/>
      <c r="GP211" s="30"/>
      <c r="GQ211" s="87">
        <v>1.0</v>
      </c>
      <c r="GR211" s="30"/>
      <c r="GS211" s="30"/>
      <c r="GT211" s="30"/>
      <c r="GU211" s="30"/>
      <c r="GV211" s="30"/>
      <c r="GW211" s="30"/>
      <c r="GX211" s="30"/>
      <c r="GY211" s="30"/>
      <c r="GZ211" s="30"/>
      <c r="HA211" s="30"/>
      <c r="HB211" s="30"/>
      <c r="HC211" s="30"/>
      <c r="HD211" s="30"/>
      <c r="HE211" s="30"/>
    </row>
    <row r="212">
      <c r="A212" s="9" t="s">
        <v>95</v>
      </c>
      <c r="B212" s="124">
        <f t="shared" si="12"/>
        <v>0</v>
      </c>
      <c r="C212" s="111">
        <f t="shared" si="13"/>
        <v>0</v>
      </c>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30"/>
      <c r="EJ212" s="30"/>
      <c r="EK212" s="30"/>
      <c r="EL212" s="30"/>
      <c r="EM212" s="30"/>
      <c r="EN212" s="30"/>
      <c r="EO212" s="30"/>
      <c r="EP212" s="30"/>
      <c r="EQ212" s="30"/>
      <c r="ER212" s="30"/>
      <c r="ES212" s="30"/>
      <c r="ET212" s="30"/>
      <c r="EU212" s="30"/>
      <c r="EV212" s="30"/>
      <c r="EW212" s="30"/>
      <c r="EX212" s="30"/>
      <c r="EY212" s="30"/>
      <c r="EZ212" s="30"/>
      <c r="FA212" s="30"/>
      <c r="FB212" s="30"/>
      <c r="FC212" s="30"/>
      <c r="FD212" s="30"/>
      <c r="FE212" s="30"/>
      <c r="FF212" s="30"/>
      <c r="FG212" s="30"/>
      <c r="FH212" s="30"/>
      <c r="FI212" s="30"/>
      <c r="FJ212" s="30"/>
      <c r="FK212" s="30"/>
      <c r="FL212" s="30"/>
      <c r="FM212" s="30"/>
      <c r="FN212" s="30"/>
      <c r="FO212" s="30"/>
      <c r="FP212" s="30"/>
      <c r="FQ212" s="30"/>
      <c r="FR212" s="30"/>
      <c r="FS212" s="30"/>
      <c r="FT212" s="30"/>
      <c r="FU212" s="30"/>
      <c r="FV212" s="30"/>
      <c r="FW212" s="30"/>
      <c r="FX212" s="30"/>
      <c r="FY212" s="30"/>
      <c r="FZ212" s="30"/>
      <c r="GA212" s="30"/>
      <c r="GB212" s="30"/>
      <c r="GC212" s="30"/>
      <c r="GD212" s="30"/>
      <c r="GE212" s="30"/>
      <c r="GF212" s="30"/>
      <c r="GG212" s="30"/>
      <c r="GH212" s="30"/>
      <c r="GI212" s="30"/>
      <c r="GJ212" s="30"/>
      <c r="GK212" s="30"/>
      <c r="GL212" s="30"/>
      <c r="GM212" s="30"/>
      <c r="GN212" s="30"/>
      <c r="GO212" s="30"/>
      <c r="GP212" s="30"/>
      <c r="GQ212" s="30"/>
      <c r="GR212" s="30"/>
      <c r="GS212" s="30"/>
      <c r="GT212" s="30"/>
      <c r="GU212" s="30"/>
      <c r="GV212" s="30"/>
      <c r="GW212" s="30"/>
      <c r="GX212" s="30"/>
      <c r="GY212" s="30"/>
      <c r="GZ212" s="30"/>
      <c r="HA212" s="30"/>
      <c r="HB212" s="30"/>
      <c r="HC212" s="30"/>
      <c r="HD212" s="30"/>
      <c r="HE212" s="30"/>
    </row>
    <row r="213">
      <c r="A213" s="9" t="s">
        <v>115</v>
      </c>
      <c r="B213" s="124">
        <f t="shared" si="12"/>
        <v>0.02298850575</v>
      </c>
      <c r="C213" s="111">
        <f t="shared" si="13"/>
        <v>2</v>
      </c>
      <c r="D213" s="87">
        <v>3.0</v>
      </c>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87">
        <v>1.0</v>
      </c>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30"/>
      <c r="EJ213" s="30"/>
      <c r="EK213" s="30"/>
      <c r="EL213" s="30"/>
      <c r="EM213" s="30"/>
      <c r="EN213" s="30"/>
      <c r="EO213" s="30"/>
      <c r="EP213" s="30"/>
      <c r="EQ213" s="30"/>
      <c r="ER213" s="30"/>
      <c r="ES213" s="30"/>
      <c r="ET213" s="30"/>
      <c r="EU213" s="30"/>
      <c r="EV213" s="30"/>
      <c r="EW213" s="30"/>
      <c r="EX213" s="30"/>
      <c r="EY213" s="30"/>
      <c r="EZ213" s="30"/>
      <c r="FA213" s="30"/>
      <c r="FB213" s="30"/>
      <c r="FC213" s="30"/>
      <c r="FD213" s="30"/>
      <c r="FE213" s="30"/>
      <c r="FF213" s="30"/>
      <c r="FG213" s="30"/>
      <c r="FH213" s="30"/>
      <c r="FI213" s="30"/>
      <c r="FJ213" s="30"/>
      <c r="FK213" s="30"/>
      <c r="FL213" s="30"/>
      <c r="FM213" s="30"/>
      <c r="FN213" s="30"/>
      <c r="FO213" s="30"/>
      <c r="FP213" s="30"/>
      <c r="FQ213" s="30"/>
      <c r="FR213" s="30"/>
      <c r="FS213" s="30"/>
      <c r="FT213" s="30"/>
      <c r="FU213" s="30"/>
      <c r="FV213" s="30"/>
      <c r="FW213" s="30"/>
      <c r="FX213" s="30"/>
      <c r="FY213" s="30"/>
      <c r="FZ213" s="30"/>
      <c r="GA213" s="30"/>
      <c r="GB213" s="30"/>
      <c r="GC213" s="30"/>
      <c r="GD213" s="30"/>
      <c r="GE213" s="30"/>
      <c r="GF213" s="30"/>
      <c r="GG213" s="30"/>
      <c r="GH213" s="30"/>
      <c r="GI213" s="30"/>
      <c r="GJ213" s="30"/>
      <c r="GK213" s="30"/>
      <c r="GL213" s="30"/>
      <c r="GM213" s="30"/>
      <c r="GN213" s="30"/>
      <c r="GO213" s="30"/>
      <c r="GP213" s="30"/>
      <c r="GQ213" s="30"/>
      <c r="GR213" s="30"/>
      <c r="GS213" s="30"/>
      <c r="GT213" s="30"/>
      <c r="GU213" s="30"/>
      <c r="GV213" s="30"/>
      <c r="GW213" s="30"/>
      <c r="GX213" s="30"/>
      <c r="GY213" s="30"/>
      <c r="GZ213" s="30"/>
      <c r="HA213" s="30"/>
      <c r="HB213" s="30"/>
      <c r="HC213" s="30"/>
      <c r="HD213" s="30"/>
      <c r="HE213" s="30"/>
    </row>
    <row r="214">
      <c r="A214" s="9" t="s">
        <v>138</v>
      </c>
      <c r="B214" s="124">
        <f t="shared" si="12"/>
        <v>0.01149425287</v>
      </c>
      <c r="C214" s="111">
        <f t="shared" si="13"/>
        <v>1</v>
      </c>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30"/>
      <c r="EJ214" s="30"/>
      <c r="EK214" s="30"/>
      <c r="EL214" s="30"/>
      <c r="EM214" s="30"/>
      <c r="EN214" s="30"/>
      <c r="EO214" s="30"/>
      <c r="EP214" s="30"/>
      <c r="EQ214" s="30"/>
      <c r="ER214" s="30"/>
      <c r="ES214" s="30"/>
      <c r="ET214" s="30"/>
      <c r="EU214" s="30"/>
      <c r="EV214" s="30"/>
      <c r="EW214" s="30"/>
      <c r="EX214" s="30"/>
      <c r="EY214" s="30"/>
      <c r="EZ214" s="30"/>
      <c r="FA214" s="30"/>
      <c r="FB214" s="30"/>
      <c r="FC214" s="30"/>
      <c r="FD214" s="30"/>
      <c r="FE214" s="30"/>
      <c r="FF214" s="30"/>
      <c r="FG214" s="30"/>
      <c r="FH214" s="30"/>
      <c r="FI214" s="30"/>
      <c r="FJ214" s="30"/>
      <c r="FK214" s="30"/>
      <c r="FL214" s="30"/>
      <c r="FM214" s="30"/>
      <c r="FN214" s="30"/>
      <c r="FO214" s="30"/>
      <c r="FP214" s="30"/>
      <c r="FQ214" s="30"/>
      <c r="FR214" s="30"/>
      <c r="FS214" s="30"/>
      <c r="FT214" s="30"/>
      <c r="FU214" s="30"/>
      <c r="FV214" s="30"/>
      <c r="FW214" s="30"/>
      <c r="FX214" s="30"/>
      <c r="FY214" s="30"/>
      <c r="FZ214" s="30"/>
      <c r="GA214" s="30"/>
      <c r="GB214" s="30"/>
      <c r="GC214" s="30"/>
      <c r="GD214" s="30"/>
      <c r="GE214" s="30"/>
      <c r="GF214" s="30"/>
      <c r="GG214" s="30"/>
      <c r="GH214" s="30"/>
      <c r="GI214" s="30"/>
      <c r="GJ214" s="30"/>
      <c r="GK214" s="30"/>
      <c r="GL214" s="30"/>
      <c r="GM214" s="30"/>
      <c r="GN214" s="30"/>
      <c r="GO214" s="30"/>
      <c r="GP214" s="30"/>
      <c r="GQ214" s="87">
        <v>1.0</v>
      </c>
      <c r="GR214" s="30"/>
      <c r="GS214" s="30"/>
      <c r="GT214" s="30"/>
      <c r="GU214" s="30"/>
      <c r="GV214" s="30"/>
      <c r="GW214" s="30"/>
      <c r="GX214" s="30"/>
      <c r="GY214" s="30"/>
      <c r="GZ214" s="30"/>
      <c r="HA214" s="30"/>
      <c r="HB214" s="30"/>
      <c r="HC214" s="30"/>
      <c r="HD214" s="30"/>
      <c r="HE214" s="30"/>
    </row>
    <row r="215">
      <c r="A215" s="9" t="s">
        <v>96</v>
      </c>
      <c r="B215" s="124">
        <f t="shared" si="12"/>
        <v>0.02298850575</v>
      </c>
      <c r="C215" s="111">
        <f t="shared" si="13"/>
        <v>2</v>
      </c>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30"/>
      <c r="EO215" s="30"/>
      <c r="EP215" s="30"/>
      <c r="EQ215" s="30"/>
      <c r="ER215" s="30"/>
      <c r="ES215" s="30"/>
      <c r="ET215" s="30"/>
      <c r="EU215" s="30"/>
      <c r="EV215" s="30"/>
      <c r="EW215" s="30"/>
      <c r="EX215" s="30"/>
      <c r="EY215" s="30"/>
      <c r="EZ215" s="30"/>
      <c r="FA215" s="30"/>
      <c r="FB215" s="30"/>
      <c r="FC215" s="30"/>
      <c r="FD215" s="30"/>
      <c r="FE215" s="30"/>
      <c r="FF215" s="30"/>
      <c r="FG215" s="30"/>
      <c r="FH215" s="30"/>
      <c r="FI215" s="30"/>
      <c r="FJ215" s="30"/>
      <c r="FK215" s="30"/>
      <c r="FL215" s="30"/>
      <c r="FM215" s="30"/>
      <c r="FN215" s="30"/>
      <c r="FO215" s="30"/>
      <c r="FP215" s="30"/>
      <c r="FQ215" s="30"/>
      <c r="FR215" s="30"/>
      <c r="FS215" s="87">
        <v>4.0</v>
      </c>
      <c r="FT215" s="30"/>
      <c r="FU215" s="30"/>
      <c r="FV215" s="30"/>
      <c r="FW215" s="87">
        <v>4.0</v>
      </c>
      <c r="FX215" s="30"/>
      <c r="FY215" s="30"/>
      <c r="FZ215" s="30"/>
      <c r="GA215" s="30"/>
      <c r="GB215" s="30"/>
      <c r="GC215" s="30"/>
      <c r="GD215" s="30"/>
      <c r="GE215" s="30"/>
      <c r="GF215" s="30"/>
      <c r="GG215" s="30"/>
      <c r="GH215" s="30"/>
      <c r="GI215" s="30"/>
      <c r="GJ215" s="30"/>
      <c r="GK215" s="30"/>
      <c r="GL215" s="30"/>
      <c r="GM215" s="30"/>
      <c r="GN215" s="30"/>
      <c r="GO215" s="30"/>
      <c r="GP215" s="30"/>
      <c r="GQ215" s="30"/>
      <c r="GR215" s="30"/>
      <c r="GS215" s="30"/>
      <c r="GT215" s="30"/>
      <c r="GU215" s="30"/>
      <c r="GV215" s="30"/>
      <c r="GW215" s="30"/>
      <c r="GX215" s="30"/>
      <c r="GY215" s="30"/>
      <c r="GZ215" s="30"/>
      <c r="HA215" s="30"/>
      <c r="HB215" s="30"/>
      <c r="HC215" s="30"/>
      <c r="HD215" s="30"/>
      <c r="HE215" s="30"/>
    </row>
    <row r="216">
      <c r="A216" s="9" t="s">
        <v>116</v>
      </c>
      <c r="B216" s="124">
        <f t="shared" si="12"/>
        <v>0.02298850575</v>
      </c>
      <c r="C216" s="111">
        <f t="shared" si="13"/>
        <v>2</v>
      </c>
      <c r="D216" s="30"/>
      <c r="E216" s="30"/>
      <c r="F216" s="30"/>
      <c r="G216" s="30"/>
      <c r="H216" s="87">
        <v>2.0</v>
      </c>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30"/>
      <c r="EJ216" s="30"/>
      <c r="EK216" s="30"/>
      <c r="EL216" s="30"/>
      <c r="EM216" s="30"/>
      <c r="EN216" s="30"/>
      <c r="EO216" s="30"/>
      <c r="EP216" s="30"/>
      <c r="EQ216" s="30"/>
      <c r="ER216" s="30"/>
      <c r="ES216" s="30"/>
      <c r="ET216" s="30"/>
      <c r="EU216" s="30"/>
      <c r="EV216" s="30"/>
      <c r="EW216" s="30"/>
      <c r="EX216" s="30"/>
      <c r="EY216" s="30"/>
      <c r="EZ216" s="30"/>
      <c r="FA216" s="30"/>
      <c r="FB216" s="30"/>
      <c r="FC216" s="30"/>
      <c r="FD216" s="30"/>
      <c r="FE216" s="30"/>
      <c r="FF216" s="30"/>
      <c r="FG216" s="30"/>
      <c r="FH216" s="30"/>
      <c r="FI216" s="30"/>
      <c r="FJ216" s="30"/>
      <c r="FK216" s="30"/>
      <c r="FL216" s="30"/>
      <c r="FM216" s="30"/>
      <c r="FN216" s="30"/>
      <c r="FO216" s="30"/>
      <c r="FP216" s="30"/>
      <c r="FQ216" s="30"/>
      <c r="FR216" s="30"/>
      <c r="FS216" s="30"/>
      <c r="FT216" s="30"/>
      <c r="FU216" s="30"/>
      <c r="FV216" s="30"/>
      <c r="FW216" s="30"/>
      <c r="FX216" s="30"/>
      <c r="FY216" s="30"/>
      <c r="FZ216" s="30"/>
      <c r="GA216" s="30"/>
      <c r="GB216" s="30"/>
      <c r="GC216" s="30"/>
      <c r="GD216" s="87">
        <v>2.0</v>
      </c>
      <c r="GE216" s="30"/>
      <c r="GF216" s="30"/>
      <c r="GG216" s="30"/>
      <c r="GH216" s="30"/>
      <c r="GI216" s="30"/>
      <c r="GJ216" s="30"/>
      <c r="GK216" s="30"/>
      <c r="GL216" s="30"/>
      <c r="GM216" s="30"/>
      <c r="GN216" s="30"/>
      <c r="GO216" s="30"/>
      <c r="GP216" s="30"/>
      <c r="GQ216" s="30"/>
      <c r="GR216" s="30"/>
      <c r="GS216" s="30"/>
      <c r="GT216" s="30"/>
      <c r="GU216" s="30"/>
      <c r="GV216" s="30"/>
      <c r="GW216" s="30"/>
      <c r="GX216" s="30"/>
      <c r="GY216" s="30"/>
      <c r="GZ216" s="30"/>
      <c r="HA216" s="30"/>
      <c r="HB216" s="30"/>
      <c r="HC216" s="30"/>
      <c r="HD216" s="30"/>
      <c r="HE216" s="30"/>
    </row>
    <row r="217">
      <c r="A217" s="91" t="s">
        <v>140</v>
      </c>
      <c r="B217" s="124">
        <f t="shared" si="12"/>
        <v>0.02298850575</v>
      </c>
      <c r="C217" s="111">
        <f t="shared" si="13"/>
        <v>2</v>
      </c>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87">
        <v>3.0</v>
      </c>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30"/>
      <c r="EJ217" s="30"/>
      <c r="EK217" s="30"/>
      <c r="EL217" s="30"/>
      <c r="EM217" s="30"/>
      <c r="EN217" s="30"/>
      <c r="EO217" s="30"/>
      <c r="EP217" s="30"/>
      <c r="EQ217" s="30"/>
      <c r="ER217" s="30"/>
      <c r="ES217" s="30"/>
      <c r="ET217" s="30"/>
      <c r="EU217" s="30"/>
      <c r="EV217" s="30"/>
      <c r="EW217" s="30"/>
      <c r="EX217" s="30"/>
      <c r="EY217" s="30"/>
      <c r="EZ217" s="30"/>
      <c r="FA217" s="30"/>
      <c r="FB217" s="30"/>
      <c r="FC217" s="30"/>
      <c r="FD217" s="30"/>
      <c r="FE217" s="30"/>
      <c r="FF217" s="30"/>
      <c r="FG217" s="30"/>
      <c r="FH217" s="30"/>
      <c r="FI217" s="30"/>
      <c r="FJ217" s="30"/>
      <c r="FK217" s="30"/>
      <c r="FL217" s="30"/>
      <c r="FM217" s="30"/>
      <c r="FN217" s="30"/>
      <c r="FO217" s="30"/>
      <c r="FP217" s="30"/>
      <c r="FQ217" s="30"/>
      <c r="FR217" s="30"/>
      <c r="FS217" s="30"/>
      <c r="FT217" s="30"/>
      <c r="FU217" s="30"/>
      <c r="FV217" s="30"/>
      <c r="FW217" s="30"/>
      <c r="FX217" s="30"/>
      <c r="FY217" s="30"/>
      <c r="FZ217" s="30"/>
      <c r="GA217" s="30"/>
      <c r="GB217" s="30"/>
      <c r="GC217" s="30"/>
      <c r="GD217" s="87">
        <v>1.0</v>
      </c>
      <c r="GE217" s="30"/>
      <c r="GF217" s="30"/>
      <c r="GG217" s="30"/>
      <c r="GH217" s="30"/>
      <c r="GI217" s="30"/>
      <c r="GJ217" s="30"/>
      <c r="GK217" s="30"/>
      <c r="GL217" s="30"/>
      <c r="GM217" s="30"/>
      <c r="GN217" s="30"/>
      <c r="GO217" s="30"/>
      <c r="GP217" s="30"/>
      <c r="GQ217" s="30"/>
      <c r="GR217" s="30"/>
      <c r="GS217" s="30"/>
      <c r="GT217" s="30"/>
      <c r="GU217" s="30"/>
      <c r="GV217" s="30"/>
      <c r="GW217" s="30"/>
      <c r="GX217" s="30"/>
      <c r="GY217" s="30"/>
      <c r="GZ217" s="30"/>
      <c r="HA217" s="30"/>
      <c r="HB217" s="30"/>
      <c r="HC217" s="30"/>
      <c r="HD217" s="30"/>
      <c r="HE217" s="30"/>
    </row>
    <row r="218">
      <c r="A218" s="9" t="s">
        <v>97</v>
      </c>
      <c r="B218" s="124">
        <f t="shared" si="12"/>
        <v>0.01149425287</v>
      </c>
      <c r="C218" s="111">
        <f t="shared" si="13"/>
        <v>1</v>
      </c>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30"/>
      <c r="EJ218" s="30"/>
      <c r="EK218" s="30"/>
      <c r="EL218" s="30"/>
      <c r="EM218" s="30"/>
      <c r="EN218" s="30"/>
      <c r="EO218" s="30"/>
      <c r="EP218" s="30"/>
      <c r="EQ218" s="30"/>
      <c r="ER218" s="87">
        <v>1.0</v>
      </c>
      <c r="ES218" s="30"/>
      <c r="ET218" s="30"/>
      <c r="EU218" s="30"/>
      <c r="EV218" s="30"/>
      <c r="EW218" s="30"/>
      <c r="EX218" s="30"/>
      <c r="EY218" s="30"/>
      <c r="EZ218" s="30"/>
      <c r="FA218" s="30"/>
      <c r="FB218" s="30"/>
      <c r="FC218" s="30"/>
      <c r="FD218" s="30"/>
      <c r="FE218" s="30"/>
      <c r="FF218" s="30"/>
      <c r="FG218" s="30"/>
      <c r="FH218" s="30"/>
      <c r="FI218" s="30"/>
      <c r="FJ218" s="30"/>
      <c r="FK218" s="30"/>
      <c r="FL218" s="30"/>
      <c r="FM218" s="30"/>
      <c r="FN218" s="30"/>
      <c r="FO218" s="30"/>
      <c r="FP218" s="30"/>
      <c r="FQ218" s="30"/>
      <c r="FR218" s="30"/>
      <c r="FS218" s="30"/>
      <c r="FT218" s="30"/>
      <c r="FU218" s="30"/>
      <c r="FV218" s="30"/>
      <c r="FW218" s="30"/>
      <c r="FX218" s="30"/>
      <c r="FY218" s="30"/>
      <c r="FZ218" s="30"/>
      <c r="GA218" s="30"/>
      <c r="GB218" s="30"/>
      <c r="GC218" s="30"/>
      <c r="GD218" s="30"/>
      <c r="GE218" s="30"/>
      <c r="GF218" s="30"/>
      <c r="GG218" s="30"/>
      <c r="GH218" s="30"/>
      <c r="GI218" s="30"/>
      <c r="GJ218" s="30"/>
      <c r="GK218" s="30"/>
      <c r="GL218" s="30"/>
      <c r="GM218" s="30"/>
      <c r="GN218" s="30"/>
      <c r="GO218" s="30"/>
      <c r="GP218" s="30"/>
      <c r="GQ218" s="30"/>
      <c r="GR218" s="30"/>
      <c r="GS218" s="30"/>
      <c r="GT218" s="30"/>
      <c r="GU218" s="30"/>
      <c r="GV218" s="30"/>
      <c r="GW218" s="30"/>
      <c r="GX218" s="30"/>
      <c r="GY218" s="30"/>
      <c r="GZ218" s="30"/>
      <c r="HA218" s="30"/>
      <c r="HB218" s="30"/>
      <c r="HC218" s="30"/>
      <c r="HD218" s="30"/>
      <c r="HE218" s="30"/>
    </row>
    <row r="219">
      <c r="A219" s="9" t="s">
        <v>117</v>
      </c>
      <c r="B219" s="124">
        <f t="shared" si="12"/>
        <v>0.03448275862</v>
      </c>
      <c r="C219" s="111">
        <f t="shared" si="13"/>
        <v>3</v>
      </c>
      <c r="D219" s="30"/>
      <c r="E219" s="30"/>
      <c r="F219" s="30"/>
      <c r="G219" s="30"/>
      <c r="H219" s="30"/>
      <c r="I219" s="30"/>
      <c r="J219" s="30"/>
      <c r="K219" s="30"/>
      <c r="L219" s="30"/>
      <c r="M219" s="30"/>
      <c r="N219" s="30"/>
      <c r="O219" s="30"/>
      <c r="P219" s="30"/>
      <c r="Q219" s="30"/>
      <c r="R219" s="30"/>
      <c r="S219" s="30"/>
      <c r="T219" s="30"/>
      <c r="U219" s="30"/>
      <c r="V219" s="30"/>
      <c r="W219" s="30"/>
      <c r="X219" s="30"/>
      <c r="Y219" s="87">
        <v>3.0</v>
      </c>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87">
        <v>2.0</v>
      </c>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87">
        <v>1.0</v>
      </c>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30"/>
      <c r="EO219" s="30"/>
      <c r="EP219" s="30"/>
      <c r="EQ219" s="30"/>
      <c r="ER219" s="30"/>
      <c r="ES219" s="30"/>
      <c r="ET219" s="30"/>
      <c r="EU219" s="30"/>
      <c r="EV219" s="30"/>
      <c r="EW219" s="30"/>
      <c r="EX219" s="30"/>
      <c r="EY219" s="30"/>
      <c r="EZ219" s="30"/>
      <c r="FA219" s="30"/>
      <c r="FB219" s="30"/>
      <c r="FC219" s="30"/>
      <c r="FD219" s="30"/>
      <c r="FE219" s="30"/>
      <c r="FF219" s="30"/>
      <c r="FG219" s="30"/>
      <c r="FH219" s="30"/>
      <c r="FI219" s="30"/>
      <c r="FJ219" s="30"/>
      <c r="FK219" s="30"/>
      <c r="FL219" s="30"/>
      <c r="FM219" s="30"/>
      <c r="FN219" s="30"/>
      <c r="FO219" s="30"/>
      <c r="FP219" s="30"/>
      <c r="FQ219" s="30"/>
      <c r="FR219" s="30"/>
      <c r="FS219" s="30"/>
      <c r="FT219" s="30"/>
      <c r="FU219" s="30"/>
      <c r="FV219" s="30"/>
      <c r="FW219" s="30"/>
      <c r="FX219" s="30"/>
      <c r="FY219" s="30"/>
      <c r="FZ219" s="30"/>
      <c r="GA219" s="30"/>
      <c r="GB219" s="30"/>
      <c r="GC219" s="30"/>
      <c r="GD219" s="30"/>
      <c r="GE219" s="30"/>
      <c r="GF219" s="30"/>
      <c r="GG219" s="30"/>
      <c r="GH219" s="30"/>
      <c r="GI219" s="30"/>
      <c r="GJ219" s="30"/>
      <c r="GK219" s="30"/>
      <c r="GL219" s="30"/>
      <c r="GM219" s="30"/>
      <c r="GN219" s="30"/>
      <c r="GO219" s="30"/>
      <c r="GP219" s="30"/>
      <c r="GQ219" s="30"/>
      <c r="GR219" s="30"/>
      <c r="GS219" s="30"/>
      <c r="GT219" s="30"/>
      <c r="GU219" s="30"/>
      <c r="GV219" s="30"/>
      <c r="GW219" s="30"/>
      <c r="GX219" s="30"/>
      <c r="GY219" s="30"/>
      <c r="GZ219" s="30"/>
      <c r="HA219" s="30"/>
      <c r="HB219" s="30"/>
      <c r="HC219" s="30"/>
      <c r="HD219" s="30"/>
      <c r="HE219" s="30"/>
    </row>
    <row r="220">
      <c r="A220" s="9" t="s">
        <v>141</v>
      </c>
      <c r="B220" s="124">
        <f t="shared" si="12"/>
        <v>0</v>
      </c>
      <c r="C220" s="111">
        <f t="shared" si="13"/>
        <v>0</v>
      </c>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30"/>
      <c r="EJ220" s="30"/>
      <c r="EK220" s="30"/>
      <c r="EL220" s="30"/>
      <c r="EM220" s="30"/>
      <c r="EN220" s="30"/>
      <c r="EO220" s="30"/>
      <c r="EP220" s="30"/>
      <c r="EQ220" s="30"/>
      <c r="ER220" s="30"/>
      <c r="ES220" s="30"/>
      <c r="ET220" s="30"/>
      <c r="EU220" s="30"/>
      <c r="EV220" s="30"/>
      <c r="EW220" s="30"/>
      <c r="EX220" s="30"/>
      <c r="EY220" s="30"/>
      <c r="EZ220" s="30"/>
      <c r="FA220" s="30"/>
      <c r="FB220" s="30"/>
      <c r="FC220" s="30"/>
      <c r="FD220" s="30"/>
      <c r="FE220" s="30"/>
      <c r="FF220" s="30"/>
      <c r="FG220" s="30"/>
      <c r="FH220" s="30"/>
      <c r="FI220" s="30"/>
      <c r="FJ220" s="30"/>
      <c r="FK220" s="30"/>
      <c r="FL220" s="30"/>
      <c r="FM220" s="30"/>
      <c r="FN220" s="30"/>
      <c r="FO220" s="30"/>
      <c r="FP220" s="30"/>
      <c r="FQ220" s="30"/>
      <c r="FR220" s="30"/>
      <c r="FS220" s="30"/>
      <c r="FT220" s="30"/>
      <c r="FU220" s="30"/>
      <c r="FV220" s="30"/>
      <c r="FW220" s="30"/>
      <c r="FX220" s="30"/>
      <c r="FY220" s="30"/>
      <c r="FZ220" s="30"/>
      <c r="GA220" s="30"/>
      <c r="GB220" s="30"/>
      <c r="GC220" s="30"/>
      <c r="GD220" s="30"/>
      <c r="GE220" s="30"/>
      <c r="GF220" s="30"/>
      <c r="GG220" s="30"/>
      <c r="GH220" s="30"/>
      <c r="GI220" s="30"/>
      <c r="GJ220" s="30"/>
      <c r="GK220" s="30"/>
      <c r="GL220" s="30"/>
      <c r="GM220" s="30"/>
      <c r="GN220" s="30"/>
      <c r="GO220" s="30"/>
      <c r="GP220" s="30"/>
      <c r="GQ220" s="30"/>
      <c r="GR220" s="30"/>
      <c r="GS220" s="30"/>
      <c r="GT220" s="30"/>
      <c r="GU220" s="30"/>
      <c r="GV220" s="30"/>
      <c r="GW220" s="30"/>
      <c r="GX220" s="30"/>
      <c r="GY220" s="30"/>
      <c r="GZ220" s="30"/>
      <c r="HA220" s="30"/>
      <c r="HB220" s="30"/>
      <c r="HC220" s="30"/>
      <c r="HD220" s="30"/>
      <c r="HE220" s="30"/>
    </row>
    <row r="221">
      <c r="A221" s="9" t="s">
        <v>98</v>
      </c>
      <c r="B221" s="124">
        <f t="shared" si="12"/>
        <v>0</v>
      </c>
      <c r="C221" s="111">
        <f t="shared" si="13"/>
        <v>0</v>
      </c>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30"/>
      <c r="EO221" s="30"/>
      <c r="EP221" s="30"/>
      <c r="EQ221" s="30"/>
      <c r="ER221" s="30"/>
      <c r="ES221" s="30"/>
      <c r="ET221" s="30"/>
      <c r="EU221" s="30"/>
      <c r="EV221" s="30"/>
      <c r="EW221" s="30"/>
      <c r="EX221" s="30"/>
      <c r="EY221" s="30"/>
      <c r="EZ221" s="30"/>
      <c r="FA221" s="30"/>
      <c r="FB221" s="30"/>
      <c r="FC221" s="30"/>
      <c r="FD221" s="30"/>
      <c r="FE221" s="30"/>
      <c r="FF221" s="30"/>
      <c r="FG221" s="30"/>
      <c r="FH221" s="30"/>
      <c r="FI221" s="30"/>
      <c r="FJ221" s="30"/>
      <c r="FK221" s="30"/>
      <c r="FL221" s="30"/>
      <c r="FM221" s="30"/>
      <c r="FN221" s="30"/>
      <c r="FO221" s="30"/>
      <c r="FP221" s="30"/>
      <c r="FQ221" s="30"/>
      <c r="FR221" s="30"/>
      <c r="FS221" s="30"/>
      <c r="FT221" s="30"/>
      <c r="FU221" s="30"/>
      <c r="FV221" s="30"/>
      <c r="FW221" s="30"/>
      <c r="FX221" s="30"/>
      <c r="FY221" s="30"/>
      <c r="FZ221" s="30"/>
      <c r="GA221" s="30"/>
      <c r="GB221" s="30"/>
      <c r="GC221" s="30"/>
      <c r="GD221" s="30"/>
      <c r="GE221" s="30"/>
      <c r="GF221" s="30"/>
      <c r="GG221" s="30"/>
      <c r="GH221" s="30"/>
      <c r="GI221" s="30"/>
      <c r="GJ221" s="30"/>
      <c r="GK221" s="30"/>
      <c r="GL221" s="30"/>
      <c r="GM221" s="30"/>
      <c r="GN221" s="30"/>
      <c r="GO221" s="30"/>
      <c r="GP221" s="30"/>
      <c r="GQ221" s="30"/>
      <c r="GR221" s="30"/>
      <c r="GS221" s="30"/>
      <c r="GT221" s="30"/>
      <c r="GU221" s="30"/>
      <c r="GV221" s="30"/>
      <c r="GW221" s="30"/>
      <c r="GX221" s="30"/>
      <c r="GY221" s="30"/>
      <c r="GZ221" s="30"/>
      <c r="HA221" s="30"/>
      <c r="HB221" s="30"/>
      <c r="HC221" s="30"/>
      <c r="HD221" s="30"/>
      <c r="HE221" s="30"/>
    </row>
    <row r="222">
      <c r="A222" s="9" t="s">
        <v>119</v>
      </c>
      <c r="B222" s="124">
        <f t="shared" si="12"/>
        <v>0.02298850575</v>
      </c>
      <c r="C222" s="111">
        <f t="shared" si="13"/>
        <v>2</v>
      </c>
      <c r="D222" s="30"/>
      <c r="E222" s="30"/>
      <c r="F222" s="30"/>
      <c r="G222" s="30"/>
      <c r="H222" s="30"/>
      <c r="I222" s="30"/>
      <c r="J222" s="30"/>
      <c r="K222" s="30"/>
      <c r="L222" s="30"/>
      <c r="M222" s="30"/>
      <c r="N222" s="30"/>
      <c r="O222" s="30"/>
      <c r="P222" s="30"/>
      <c r="Q222" s="30"/>
      <c r="R222" s="30"/>
      <c r="S222" s="30"/>
      <c r="T222" s="30"/>
      <c r="U222" s="87" t="s">
        <v>334</v>
      </c>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87">
        <v>3.0</v>
      </c>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30"/>
      <c r="EJ222" s="30"/>
      <c r="EK222" s="30"/>
      <c r="EL222" s="30"/>
      <c r="EM222" s="30"/>
      <c r="EN222" s="30"/>
      <c r="EO222" s="30"/>
      <c r="EP222" s="30"/>
      <c r="EQ222" s="30"/>
      <c r="ER222" s="30"/>
      <c r="ES222" s="30"/>
      <c r="ET222" s="30"/>
      <c r="EU222" s="30"/>
      <c r="EV222" s="30"/>
      <c r="EW222" s="30"/>
      <c r="EX222" s="30"/>
      <c r="EY222" s="30"/>
      <c r="EZ222" s="30"/>
      <c r="FA222" s="30"/>
      <c r="FB222" s="30"/>
      <c r="FC222" s="30"/>
      <c r="FD222" s="30"/>
      <c r="FE222" s="30"/>
      <c r="FF222" s="30"/>
      <c r="FG222" s="30"/>
      <c r="FH222" s="30"/>
      <c r="FI222" s="30"/>
      <c r="FJ222" s="30"/>
      <c r="FK222" s="30"/>
      <c r="FL222" s="30"/>
      <c r="FM222" s="30"/>
      <c r="FN222" s="30"/>
      <c r="FO222" s="30"/>
      <c r="FP222" s="30"/>
      <c r="FQ222" s="30"/>
      <c r="FR222" s="30"/>
      <c r="FS222" s="30"/>
      <c r="FT222" s="30"/>
      <c r="FU222" s="30"/>
      <c r="FV222" s="30"/>
      <c r="FW222" s="30"/>
      <c r="FX222" s="30"/>
      <c r="FY222" s="30"/>
      <c r="FZ222" s="30"/>
      <c r="GA222" s="30"/>
      <c r="GB222" s="30"/>
      <c r="GC222" s="30"/>
      <c r="GD222" s="30"/>
      <c r="GE222" s="30"/>
      <c r="GF222" s="30"/>
      <c r="GG222" s="30"/>
      <c r="GH222" s="30"/>
      <c r="GI222" s="30"/>
      <c r="GJ222" s="30"/>
      <c r="GK222" s="30"/>
      <c r="GL222" s="30"/>
      <c r="GM222" s="30"/>
      <c r="GN222" s="30"/>
      <c r="GO222" s="30"/>
      <c r="GP222" s="30"/>
      <c r="GQ222" s="30"/>
      <c r="GR222" s="30"/>
      <c r="GS222" s="30"/>
      <c r="GT222" s="30"/>
      <c r="GU222" s="30"/>
      <c r="GV222" s="30"/>
      <c r="GW222" s="30"/>
      <c r="GX222" s="30"/>
      <c r="GY222" s="30"/>
      <c r="GZ222" s="30"/>
      <c r="HA222" s="30"/>
      <c r="HB222" s="30"/>
      <c r="HC222" s="30"/>
      <c r="HD222" s="30"/>
      <c r="HE222" s="30"/>
    </row>
    <row r="223">
      <c r="A223" s="91" t="s">
        <v>142</v>
      </c>
      <c r="B223" s="124">
        <f t="shared" si="12"/>
        <v>0.02298850575</v>
      </c>
      <c r="C223" s="111">
        <f t="shared" si="13"/>
        <v>2</v>
      </c>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87">
        <v>1.0</v>
      </c>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30"/>
      <c r="EO223" s="30"/>
      <c r="EP223" s="30"/>
      <c r="EQ223" s="30"/>
      <c r="ER223" s="30"/>
      <c r="ES223" s="30"/>
      <c r="ET223" s="30"/>
      <c r="EU223" s="30"/>
      <c r="EV223" s="30"/>
      <c r="EW223" s="30"/>
      <c r="EX223" s="30"/>
      <c r="EY223" s="30"/>
      <c r="EZ223" s="30"/>
      <c r="FA223" s="30"/>
      <c r="FB223" s="30"/>
      <c r="FC223" s="30"/>
      <c r="FD223" s="30"/>
      <c r="FE223" s="30"/>
      <c r="FF223" s="30"/>
      <c r="FG223" s="30"/>
      <c r="FH223" s="30"/>
      <c r="FI223" s="30"/>
      <c r="FJ223" s="30"/>
      <c r="FK223" s="87">
        <v>2.0</v>
      </c>
      <c r="FL223" s="30"/>
      <c r="FM223" s="30"/>
      <c r="FN223" s="30"/>
      <c r="FO223" s="30"/>
      <c r="FP223" s="30"/>
      <c r="FQ223" s="30"/>
      <c r="FR223" s="30"/>
      <c r="FS223" s="30"/>
      <c r="FT223" s="30"/>
      <c r="FU223" s="30"/>
      <c r="FV223" s="30"/>
      <c r="FW223" s="30"/>
      <c r="FX223" s="30"/>
      <c r="FY223" s="30"/>
      <c r="FZ223" s="30"/>
      <c r="GA223" s="30"/>
      <c r="GB223" s="30"/>
      <c r="GC223" s="30"/>
      <c r="GD223" s="30"/>
      <c r="GE223" s="30"/>
      <c r="GF223" s="30"/>
      <c r="GG223" s="30"/>
      <c r="GH223" s="30"/>
      <c r="GI223" s="30"/>
      <c r="GJ223" s="30"/>
      <c r="GK223" s="30"/>
      <c r="GL223" s="30"/>
      <c r="GM223" s="30"/>
      <c r="GN223" s="30"/>
      <c r="GO223" s="30"/>
      <c r="GP223" s="30"/>
      <c r="GQ223" s="30"/>
      <c r="GR223" s="30"/>
      <c r="GS223" s="30"/>
      <c r="GT223" s="30"/>
      <c r="GU223" s="30"/>
      <c r="GV223" s="30"/>
      <c r="GW223" s="30"/>
      <c r="GX223" s="30"/>
      <c r="GY223" s="30"/>
      <c r="GZ223" s="30"/>
      <c r="HA223" s="30"/>
      <c r="HB223" s="30"/>
      <c r="HC223" s="30"/>
      <c r="HD223" s="30"/>
      <c r="HE223" s="30"/>
    </row>
    <row r="224">
      <c r="A224" s="9" t="s">
        <v>99</v>
      </c>
      <c r="B224" s="124">
        <f t="shared" si="12"/>
        <v>0.01149425287</v>
      </c>
      <c r="C224" s="111">
        <f t="shared" si="13"/>
        <v>1</v>
      </c>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30"/>
      <c r="EJ224" s="30"/>
      <c r="EK224" s="30"/>
      <c r="EL224" s="30"/>
      <c r="EM224" s="30"/>
      <c r="EN224" s="30"/>
      <c r="EO224" s="30"/>
      <c r="EP224" s="30"/>
      <c r="EQ224" s="30"/>
      <c r="ER224" s="30"/>
      <c r="ES224" s="30"/>
      <c r="ET224" s="87">
        <v>1.0</v>
      </c>
      <c r="EU224" s="30"/>
      <c r="EV224" s="30"/>
      <c r="EW224" s="30"/>
      <c r="EX224" s="30"/>
      <c r="EY224" s="30"/>
      <c r="EZ224" s="30"/>
      <c r="FA224" s="30"/>
      <c r="FB224" s="30"/>
      <c r="FC224" s="30"/>
      <c r="FD224" s="30"/>
      <c r="FE224" s="30"/>
      <c r="FF224" s="30"/>
      <c r="FG224" s="30"/>
      <c r="FH224" s="30"/>
      <c r="FI224" s="30"/>
      <c r="FJ224" s="30"/>
      <c r="FK224" s="30"/>
      <c r="FL224" s="30"/>
      <c r="FM224" s="30"/>
      <c r="FN224" s="30"/>
      <c r="FO224" s="30"/>
      <c r="FP224" s="30"/>
      <c r="FQ224" s="30"/>
      <c r="FR224" s="30"/>
      <c r="FS224" s="30"/>
      <c r="FT224" s="30"/>
      <c r="FU224" s="30"/>
      <c r="FV224" s="30"/>
      <c r="FW224" s="30"/>
      <c r="FX224" s="30"/>
      <c r="FY224" s="30"/>
      <c r="FZ224" s="30"/>
      <c r="GA224" s="30"/>
      <c r="GB224" s="30"/>
      <c r="GC224" s="30"/>
      <c r="GD224" s="30"/>
      <c r="GE224" s="30"/>
      <c r="GF224" s="30"/>
      <c r="GG224" s="30"/>
      <c r="GH224" s="30"/>
      <c r="GI224" s="30"/>
      <c r="GJ224" s="30"/>
      <c r="GK224" s="30"/>
      <c r="GL224" s="30"/>
      <c r="GM224" s="30"/>
      <c r="GN224" s="30"/>
      <c r="GO224" s="30"/>
      <c r="GP224" s="30"/>
      <c r="GQ224" s="30"/>
      <c r="GR224" s="30"/>
      <c r="GS224" s="30"/>
      <c r="GT224" s="30"/>
      <c r="GU224" s="30"/>
      <c r="GV224" s="30"/>
      <c r="GW224" s="30"/>
      <c r="GX224" s="30"/>
      <c r="GY224" s="30"/>
      <c r="GZ224" s="30"/>
      <c r="HA224" s="30"/>
      <c r="HB224" s="30"/>
      <c r="HC224" s="30"/>
      <c r="HD224" s="30"/>
      <c r="HE224" s="30"/>
    </row>
    <row r="225">
      <c r="A225" s="9" t="s">
        <v>120</v>
      </c>
      <c r="B225" s="124">
        <f t="shared" si="12"/>
        <v>0.04597701149</v>
      </c>
      <c r="C225" s="111">
        <f t="shared" si="13"/>
        <v>4</v>
      </c>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87">
        <v>2.0</v>
      </c>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87" t="s">
        <v>334</v>
      </c>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30"/>
      <c r="EO225" s="30"/>
      <c r="EP225" s="30"/>
      <c r="EQ225" s="87">
        <v>2.0</v>
      </c>
      <c r="ER225" s="30"/>
      <c r="ES225" s="30"/>
      <c r="ET225" s="30"/>
      <c r="EU225" s="30"/>
      <c r="EV225" s="30"/>
      <c r="EW225" s="30"/>
      <c r="EX225" s="30"/>
      <c r="EY225" s="30"/>
      <c r="EZ225" s="30"/>
      <c r="FA225" s="30"/>
      <c r="FB225" s="30"/>
      <c r="FC225" s="30"/>
      <c r="FD225" s="30"/>
      <c r="FE225" s="30"/>
      <c r="FF225" s="30"/>
      <c r="FG225" s="30"/>
      <c r="FH225" s="30"/>
      <c r="FI225" s="30"/>
      <c r="FJ225" s="30"/>
      <c r="FK225" s="30"/>
      <c r="FL225" s="30"/>
      <c r="FM225" s="30"/>
      <c r="FN225" s="30"/>
      <c r="FO225" s="30"/>
      <c r="FP225" s="30"/>
      <c r="FQ225" s="30"/>
      <c r="FR225" s="30"/>
      <c r="FS225" s="30"/>
      <c r="FT225" s="30"/>
      <c r="FU225" s="30"/>
      <c r="FV225" s="30"/>
      <c r="FW225" s="30"/>
      <c r="FX225" s="30"/>
      <c r="FY225" s="30"/>
      <c r="FZ225" s="30"/>
      <c r="GA225" s="30"/>
      <c r="GB225" s="30"/>
      <c r="GC225" s="30"/>
      <c r="GD225" s="30"/>
      <c r="GE225" s="30"/>
      <c r="GF225" s="30"/>
      <c r="GG225" s="30"/>
      <c r="GH225" s="30"/>
      <c r="GI225" s="30"/>
      <c r="GJ225" s="30"/>
      <c r="GK225" s="87">
        <v>1.0</v>
      </c>
      <c r="GL225" s="30"/>
      <c r="GM225" s="30"/>
      <c r="GN225" s="30"/>
      <c r="GO225" s="30"/>
      <c r="GP225" s="30"/>
      <c r="GQ225" s="30"/>
      <c r="GR225" s="30"/>
      <c r="GS225" s="30"/>
      <c r="GT225" s="30"/>
      <c r="GU225" s="30"/>
      <c r="GV225" s="30"/>
      <c r="GW225" s="30"/>
      <c r="GX225" s="30"/>
      <c r="GY225" s="30"/>
      <c r="GZ225" s="30"/>
      <c r="HA225" s="30"/>
      <c r="HB225" s="30"/>
      <c r="HC225" s="30"/>
      <c r="HD225" s="30"/>
      <c r="HE225" s="30"/>
    </row>
    <row r="226">
      <c r="A226" s="91" t="s">
        <v>143</v>
      </c>
      <c r="B226" s="124">
        <f t="shared" si="12"/>
        <v>0</v>
      </c>
      <c r="C226" s="111">
        <f t="shared" si="13"/>
        <v>0</v>
      </c>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30"/>
      <c r="EJ226" s="30"/>
      <c r="EK226" s="30"/>
      <c r="EL226" s="30"/>
      <c r="EM226" s="30"/>
      <c r="EN226" s="30"/>
      <c r="EO226" s="30"/>
      <c r="EP226" s="30"/>
      <c r="EQ226" s="30"/>
      <c r="ER226" s="30"/>
      <c r="ES226" s="30"/>
      <c r="ET226" s="30"/>
      <c r="EU226" s="30"/>
      <c r="EV226" s="30"/>
      <c r="EW226" s="30"/>
      <c r="EX226" s="30"/>
      <c r="EY226" s="30"/>
      <c r="EZ226" s="30"/>
      <c r="FA226" s="30"/>
      <c r="FB226" s="30"/>
      <c r="FC226" s="30"/>
      <c r="FD226" s="30"/>
      <c r="FE226" s="30"/>
      <c r="FF226" s="30"/>
      <c r="FG226" s="30"/>
      <c r="FH226" s="30"/>
      <c r="FI226" s="30"/>
      <c r="FJ226" s="30"/>
      <c r="FK226" s="30"/>
      <c r="FL226" s="30"/>
      <c r="FM226" s="30"/>
      <c r="FN226" s="30"/>
      <c r="FO226" s="30"/>
      <c r="FP226" s="30"/>
      <c r="FQ226" s="30"/>
      <c r="FR226" s="30"/>
      <c r="FS226" s="30"/>
      <c r="FT226" s="30"/>
      <c r="FU226" s="30"/>
      <c r="FV226" s="30"/>
      <c r="FW226" s="30"/>
      <c r="FX226" s="30"/>
      <c r="FY226" s="30"/>
      <c r="FZ226" s="30"/>
      <c r="GA226" s="30"/>
      <c r="GB226" s="30"/>
      <c r="GC226" s="30"/>
      <c r="GD226" s="30"/>
      <c r="GE226" s="30"/>
      <c r="GF226" s="30"/>
      <c r="GG226" s="30"/>
      <c r="GH226" s="30"/>
      <c r="GI226" s="30"/>
      <c r="GJ226" s="30"/>
      <c r="GK226" s="30"/>
      <c r="GL226" s="30"/>
      <c r="GM226" s="30"/>
      <c r="GN226" s="30"/>
      <c r="GO226" s="30"/>
      <c r="GP226" s="30"/>
      <c r="GQ226" s="30"/>
      <c r="GR226" s="30"/>
      <c r="GS226" s="30"/>
      <c r="GT226" s="30"/>
      <c r="GU226" s="30"/>
      <c r="GV226" s="30"/>
      <c r="GW226" s="30"/>
      <c r="GX226" s="30"/>
      <c r="GY226" s="30"/>
      <c r="GZ226" s="30"/>
      <c r="HA226" s="30"/>
      <c r="HB226" s="30"/>
      <c r="HC226" s="30"/>
      <c r="HD226" s="30"/>
      <c r="HE226" s="30"/>
    </row>
    <row r="227">
      <c r="A227" s="9" t="s">
        <v>100</v>
      </c>
      <c r="B227" s="124">
        <f t="shared" si="12"/>
        <v>0</v>
      </c>
      <c r="C227" s="111">
        <f t="shared" si="13"/>
        <v>0</v>
      </c>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30"/>
      <c r="EJ227" s="30"/>
      <c r="EK227" s="30"/>
      <c r="EL227" s="30"/>
      <c r="EM227" s="30"/>
      <c r="EN227" s="30"/>
      <c r="EO227" s="30"/>
      <c r="EP227" s="30"/>
      <c r="EQ227" s="30"/>
      <c r="ER227" s="30"/>
      <c r="ES227" s="30"/>
      <c r="ET227" s="30"/>
      <c r="EU227" s="30"/>
      <c r="EV227" s="30"/>
      <c r="EW227" s="30"/>
      <c r="EX227" s="30"/>
      <c r="EY227" s="30"/>
      <c r="EZ227" s="30"/>
      <c r="FA227" s="30"/>
      <c r="FB227" s="30"/>
      <c r="FC227" s="30"/>
      <c r="FD227" s="30"/>
      <c r="FE227" s="30"/>
      <c r="FF227" s="30"/>
      <c r="FG227" s="30"/>
      <c r="FH227" s="30"/>
      <c r="FI227" s="30"/>
      <c r="FJ227" s="30"/>
      <c r="FK227" s="30"/>
      <c r="FL227" s="30"/>
      <c r="FM227" s="30"/>
      <c r="FN227" s="30"/>
      <c r="FO227" s="30"/>
      <c r="FP227" s="30"/>
      <c r="FQ227" s="30"/>
      <c r="FR227" s="30"/>
      <c r="FS227" s="30"/>
      <c r="FT227" s="30"/>
      <c r="FU227" s="30"/>
      <c r="FV227" s="30"/>
      <c r="FW227" s="30"/>
      <c r="FX227" s="30"/>
      <c r="FY227" s="30"/>
      <c r="FZ227" s="30"/>
      <c r="GA227" s="30"/>
      <c r="GB227" s="30"/>
      <c r="GC227" s="30"/>
      <c r="GD227" s="30"/>
      <c r="GE227" s="30"/>
      <c r="GF227" s="30"/>
      <c r="GG227" s="30"/>
      <c r="GH227" s="30"/>
      <c r="GI227" s="30"/>
      <c r="GJ227" s="30"/>
      <c r="GK227" s="30"/>
      <c r="GL227" s="30"/>
      <c r="GM227" s="30"/>
      <c r="GN227" s="30"/>
      <c r="GO227" s="30"/>
      <c r="GP227" s="30"/>
      <c r="GQ227" s="30"/>
      <c r="GR227" s="30"/>
      <c r="GS227" s="30"/>
      <c r="GT227" s="30"/>
      <c r="GU227" s="30"/>
      <c r="GV227" s="30"/>
      <c r="GW227" s="30"/>
      <c r="GX227" s="30"/>
      <c r="GY227" s="30"/>
      <c r="GZ227" s="30"/>
      <c r="HA227" s="30"/>
      <c r="HB227" s="30"/>
      <c r="HC227" s="30"/>
      <c r="HD227" s="30"/>
      <c r="HE227" s="30"/>
    </row>
    <row r="228">
      <c r="A228" s="9" t="s">
        <v>121</v>
      </c>
      <c r="B228" s="124">
        <f t="shared" si="12"/>
        <v>0</v>
      </c>
      <c r="C228" s="111">
        <f t="shared" si="13"/>
        <v>0</v>
      </c>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30"/>
      <c r="EJ228" s="30"/>
      <c r="EK228" s="30"/>
      <c r="EL228" s="30"/>
      <c r="EM228" s="30"/>
      <c r="EN228" s="30"/>
      <c r="EO228" s="30"/>
      <c r="EP228" s="30"/>
      <c r="EQ228" s="30"/>
      <c r="ER228" s="30"/>
      <c r="ES228" s="30"/>
      <c r="ET228" s="30"/>
      <c r="EU228" s="30"/>
      <c r="EV228" s="30"/>
      <c r="EW228" s="30"/>
      <c r="EX228" s="30"/>
      <c r="EY228" s="30"/>
      <c r="EZ228" s="30"/>
      <c r="FA228" s="30"/>
      <c r="FB228" s="30"/>
      <c r="FC228" s="30"/>
      <c r="FD228" s="30"/>
      <c r="FE228" s="30"/>
      <c r="FF228" s="30"/>
      <c r="FG228" s="30"/>
      <c r="FH228" s="30"/>
      <c r="FI228" s="30"/>
      <c r="FJ228" s="30"/>
      <c r="FK228" s="30"/>
      <c r="FL228" s="30"/>
      <c r="FM228" s="30"/>
      <c r="FN228" s="30"/>
      <c r="FO228" s="30"/>
      <c r="FP228" s="30"/>
      <c r="FQ228" s="30"/>
      <c r="FR228" s="30"/>
      <c r="FS228" s="30"/>
      <c r="FT228" s="30"/>
      <c r="FU228" s="30"/>
      <c r="FV228" s="30"/>
      <c r="FW228" s="30"/>
      <c r="FX228" s="30"/>
      <c r="FY228" s="30"/>
      <c r="FZ228" s="30"/>
      <c r="GA228" s="30"/>
      <c r="GB228" s="30"/>
      <c r="GC228" s="30"/>
      <c r="GD228" s="30"/>
      <c r="GE228" s="30"/>
      <c r="GF228" s="30"/>
      <c r="GG228" s="30"/>
      <c r="GH228" s="30"/>
      <c r="GI228" s="30"/>
      <c r="GJ228" s="30"/>
      <c r="GK228" s="30"/>
      <c r="GL228" s="30"/>
      <c r="GM228" s="30"/>
      <c r="GN228" s="30"/>
      <c r="GO228" s="30"/>
      <c r="GP228" s="30"/>
      <c r="GQ228" s="30"/>
      <c r="GR228" s="30"/>
      <c r="GS228" s="30"/>
      <c r="GT228" s="30"/>
      <c r="GU228" s="30"/>
      <c r="GV228" s="30"/>
      <c r="GW228" s="30"/>
      <c r="GX228" s="30"/>
      <c r="GY228" s="30"/>
      <c r="GZ228" s="30"/>
      <c r="HA228" s="30"/>
      <c r="HB228" s="30"/>
      <c r="HC228" s="30"/>
      <c r="HD228" s="30"/>
      <c r="HE228" s="30"/>
    </row>
    <row r="229">
      <c r="A229" s="91" t="s">
        <v>144</v>
      </c>
      <c r="B229" s="124">
        <f t="shared" si="12"/>
        <v>0.02298850575</v>
      </c>
      <c r="C229" s="111">
        <f t="shared" si="13"/>
        <v>2</v>
      </c>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87">
        <v>2.0</v>
      </c>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30"/>
      <c r="EO229" s="30"/>
      <c r="EP229" s="30"/>
      <c r="EQ229" s="30"/>
      <c r="ER229" s="30"/>
      <c r="ES229" s="30"/>
      <c r="ET229" s="30"/>
      <c r="EU229" s="87">
        <v>4.0</v>
      </c>
      <c r="EV229" s="30"/>
      <c r="EW229" s="30"/>
      <c r="EX229" s="30"/>
      <c r="EY229" s="30"/>
      <c r="EZ229" s="30"/>
      <c r="FA229" s="30"/>
      <c r="FB229" s="30"/>
      <c r="FC229" s="30"/>
      <c r="FD229" s="30"/>
      <c r="FE229" s="30"/>
      <c r="FF229" s="30"/>
      <c r="FG229" s="30"/>
      <c r="FH229" s="30"/>
      <c r="FI229" s="30"/>
      <c r="FJ229" s="30"/>
      <c r="FK229" s="30"/>
      <c r="FL229" s="30"/>
      <c r="FM229" s="30"/>
      <c r="FN229" s="30"/>
      <c r="FO229" s="30"/>
      <c r="FP229" s="30"/>
      <c r="FQ229" s="30"/>
      <c r="FR229" s="30"/>
      <c r="FS229" s="30"/>
      <c r="FT229" s="30"/>
      <c r="FU229" s="30"/>
      <c r="FV229" s="30"/>
      <c r="FW229" s="30"/>
      <c r="FX229" s="30"/>
      <c r="FY229" s="30"/>
      <c r="FZ229" s="30"/>
      <c r="GA229" s="30"/>
      <c r="GB229" s="30"/>
      <c r="GC229" s="30"/>
      <c r="GD229" s="30"/>
      <c r="GE229" s="30"/>
      <c r="GF229" s="30"/>
      <c r="GG229" s="30"/>
      <c r="GH229" s="30"/>
      <c r="GI229" s="30"/>
      <c r="GJ229" s="30"/>
      <c r="GK229" s="30"/>
      <c r="GL229" s="30"/>
      <c r="GM229" s="30"/>
      <c r="GN229" s="30"/>
      <c r="GO229" s="30"/>
      <c r="GP229" s="30"/>
      <c r="GQ229" s="30"/>
      <c r="GR229" s="30"/>
      <c r="GS229" s="30"/>
      <c r="GT229" s="30"/>
      <c r="GU229" s="30"/>
      <c r="GV229" s="30"/>
      <c r="GW229" s="30"/>
      <c r="GX229" s="30"/>
      <c r="GY229" s="30"/>
      <c r="GZ229" s="30"/>
      <c r="HA229" s="30"/>
      <c r="HB229" s="30"/>
      <c r="HC229" s="30"/>
      <c r="HD229" s="30"/>
      <c r="HE229" s="30"/>
    </row>
    <row r="230">
      <c r="A230" s="9" t="s">
        <v>101</v>
      </c>
      <c r="B230" s="124">
        <f t="shared" si="12"/>
        <v>0.02298850575</v>
      </c>
      <c r="C230" s="111">
        <f t="shared" si="13"/>
        <v>2</v>
      </c>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87">
        <v>1.0</v>
      </c>
      <c r="EA230" s="30"/>
      <c r="EB230" s="30"/>
      <c r="EC230" s="30"/>
      <c r="ED230" s="30"/>
      <c r="EE230" s="30"/>
      <c r="EF230" s="30"/>
      <c r="EG230" s="30"/>
      <c r="EH230" s="30"/>
      <c r="EI230" s="30"/>
      <c r="EJ230" s="30"/>
      <c r="EK230" s="30"/>
      <c r="EL230" s="30"/>
      <c r="EM230" s="30"/>
      <c r="EN230" s="30"/>
      <c r="EO230" s="30"/>
      <c r="EP230" s="87">
        <v>1.0</v>
      </c>
      <c r="EQ230" s="30"/>
      <c r="ER230" s="30"/>
      <c r="ES230" s="30"/>
      <c r="ET230" s="30"/>
      <c r="EU230" s="30"/>
      <c r="EV230" s="30"/>
      <c r="EW230" s="30"/>
      <c r="EX230" s="30"/>
      <c r="EY230" s="30"/>
      <c r="EZ230" s="30"/>
      <c r="FA230" s="30"/>
      <c r="FB230" s="30"/>
      <c r="FC230" s="30"/>
      <c r="FD230" s="30"/>
      <c r="FE230" s="30"/>
      <c r="FF230" s="30"/>
      <c r="FG230" s="30"/>
      <c r="FH230" s="30"/>
      <c r="FI230" s="30"/>
      <c r="FJ230" s="30"/>
      <c r="FK230" s="30"/>
      <c r="FL230" s="30"/>
      <c r="FM230" s="30"/>
      <c r="FN230" s="30"/>
      <c r="FO230" s="30"/>
      <c r="FP230" s="30"/>
      <c r="FQ230" s="30"/>
      <c r="FR230" s="30"/>
      <c r="FS230" s="30"/>
      <c r="FT230" s="30"/>
      <c r="FU230" s="30"/>
      <c r="FV230" s="30"/>
      <c r="FW230" s="30"/>
      <c r="FX230" s="30"/>
      <c r="FY230" s="30"/>
      <c r="FZ230" s="30"/>
      <c r="GA230" s="30"/>
      <c r="GB230" s="30"/>
      <c r="GC230" s="30"/>
      <c r="GD230" s="30"/>
      <c r="GE230" s="30"/>
      <c r="GF230" s="30"/>
      <c r="GG230" s="30"/>
      <c r="GH230" s="30"/>
      <c r="GI230" s="30"/>
      <c r="GJ230" s="30"/>
      <c r="GK230" s="30"/>
      <c r="GL230" s="30"/>
      <c r="GM230" s="30"/>
      <c r="GN230" s="30"/>
      <c r="GO230" s="30"/>
      <c r="GP230" s="30"/>
      <c r="GQ230" s="30"/>
      <c r="GR230" s="30"/>
      <c r="GS230" s="30"/>
      <c r="GT230" s="30"/>
      <c r="GU230" s="30"/>
      <c r="GV230" s="30"/>
      <c r="GW230" s="30"/>
      <c r="GX230" s="30"/>
      <c r="GY230" s="30"/>
      <c r="GZ230" s="30"/>
      <c r="HA230" s="30"/>
      <c r="HB230" s="30"/>
      <c r="HC230" s="30"/>
      <c r="HD230" s="30"/>
      <c r="HE230" s="30"/>
    </row>
    <row r="231">
      <c r="A231" s="9" t="s">
        <v>122</v>
      </c>
      <c r="B231" s="124">
        <f t="shared" si="12"/>
        <v>0.02298850575</v>
      </c>
      <c r="C231" s="111">
        <f t="shared" si="13"/>
        <v>2</v>
      </c>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87">
        <v>3.0</v>
      </c>
      <c r="EA231" s="30"/>
      <c r="EB231" s="30"/>
      <c r="EC231" s="30"/>
      <c r="ED231" s="30"/>
      <c r="EE231" s="30"/>
      <c r="EF231" s="30"/>
      <c r="EG231" s="30"/>
      <c r="EH231" s="30"/>
      <c r="EI231" s="30"/>
      <c r="EJ231" s="30"/>
      <c r="EK231" s="30"/>
      <c r="EL231" s="30"/>
      <c r="EM231" s="30"/>
      <c r="EN231" s="30"/>
      <c r="EO231" s="30"/>
      <c r="EP231" s="30"/>
      <c r="EQ231" s="30"/>
      <c r="ER231" s="30"/>
      <c r="ES231" s="30"/>
      <c r="ET231" s="30"/>
      <c r="EU231" s="30"/>
      <c r="EV231" s="30"/>
      <c r="EW231" s="30"/>
      <c r="EX231" s="30"/>
      <c r="EY231" s="30"/>
      <c r="EZ231" s="30"/>
      <c r="FA231" s="30"/>
      <c r="FB231" s="30"/>
      <c r="FC231" s="30"/>
      <c r="FD231" s="30"/>
      <c r="FE231" s="30"/>
      <c r="FF231" s="30"/>
      <c r="FG231" s="30"/>
      <c r="FH231" s="30"/>
      <c r="FI231" s="30"/>
      <c r="FJ231" s="30"/>
      <c r="FK231" s="30"/>
      <c r="FL231" s="30"/>
      <c r="FM231" s="30"/>
      <c r="FN231" s="30"/>
      <c r="FO231" s="30"/>
      <c r="FP231" s="30"/>
      <c r="FQ231" s="30"/>
      <c r="FR231" s="30"/>
      <c r="FS231" s="30"/>
      <c r="FT231" s="30"/>
      <c r="FU231" s="30"/>
      <c r="FV231" s="30"/>
      <c r="FW231" s="30"/>
      <c r="FX231" s="87">
        <v>3.0</v>
      </c>
      <c r="FY231" s="30"/>
      <c r="FZ231" s="30"/>
      <c r="GA231" s="30"/>
      <c r="GB231" s="30"/>
      <c r="GC231" s="30"/>
      <c r="GD231" s="30"/>
      <c r="GE231" s="30"/>
      <c r="GF231" s="30"/>
      <c r="GG231" s="30"/>
      <c r="GH231" s="30"/>
      <c r="GI231" s="30"/>
      <c r="GJ231" s="30"/>
      <c r="GK231" s="30"/>
      <c r="GL231" s="30"/>
      <c r="GM231" s="30"/>
      <c r="GN231" s="30"/>
      <c r="GO231" s="30"/>
      <c r="GP231" s="30"/>
      <c r="GQ231" s="30"/>
      <c r="GR231" s="30"/>
      <c r="GS231" s="30"/>
      <c r="GT231" s="30"/>
      <c r="GU231" s="30"/>
      <c r="GV231" s="30"/>
      <c r="GW231" s="30"/>
      <c r="GX231" s="30"/>
      <c r="GY231" s="30"/>
      <c r="GZ231" s="30"/>
      <c r="HA231" s="30"/>
      <c r="HB231" s="30"/>
      <c r="HC231" s="30"/>
      <c r="HD231" s="30"/>
      <c r="HE231" s="30"/>
    </row>
    <row r="232">
      <c r="A232" s="9" t="s">
        <v>145</v>
      </c>
      <c r="B232" s="124">
        <f t="shared" si="12"/>
        <v>0.01149425287</v>
      </c>
      <c r="C232" s="111">
        <f t="shared" si="13"/>
        <v>1</v>
      </c>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30"/>
      <c r="EJ232" s="30"/>
      <c r="EK232" s="30"/>
      <c r="EL232" s="30"/>
      <c r="EM232" s="30"/>
      <c r="EN232" s="30"/>
      <c r="EO232" s="30"/>
      <c r="EP232" s="30"/>
      <c r="EQ232" s="30"/>
      <c r="ER232" s="30"/>
      <c r="ES232" s="30"/>
      <c r="ET232" s="30"/>
      <c r="EU232" s="30"/>
      <c r="EV232" s="30"/>
      <c r="EW232" s="30"/>
      <c r="EX232" s="30"/>
      <c r="EY232" s="30"/>
      <c r="EZ232" s="30"/>
      <c r="FA232" s="30"/>
      <c r="FB232" s="30"/>
      <c r="FC232" s="30"/>
      <c r="FD232" s="30"/>
      <c r="FE232" s="30"/>
      <c r="FF232" s="30"/>
      <c r="FG232" s="30"/>
      <c r="FH232" s="30"/>
      <c r="FI232" s="30"/>
      <c r="FJ232" s="30"/>
      <c r="FK232" s="30"/>
      <c r="FL232" s="30"/>
      <c r="FM232" s="30"/>
      <c r="FN232" s="30"/>
      <c r="FO232" s="30"/>
      <c r="FP232" s="30"/>
      <c r="FQ232" s="30"/>
      <c r="FR232" s="30"/>
      <c r="FS232" s="30"/>
      <c r="FT232" s="30"/>
      <c r="FU232" s="30"/>
      <c r="FV232" s="30"/>
      <c r="FW232" s="30"/>
      <c r="FX232" s="30"/>
      <c r="FY232" s="30"/>
      <c r="FZ232" s="30"/>
      <c r="GA232" s="30"/>
      <c r="GB232" s="30"/>
      <c r="GC232" s="87">
        <v>3.0</v>
      </c>
      <c r="GD232" s="30"/>
      <c r="GE232" s="30"/>
      <c r="GF232" s="30"/>
      <c r="GG232" s="30"/>
      <c r="GH232" s="30"/>
      <c r="GI232" s="30"/>
      <c r="GJ232" s="30"/>
      <c r="GK232" s="30"/>
      <c r="GL232" s="30"/>
      <c r="GM232" s="30"/>
      <c r="GN232" s="30"/>
      <c r="GO232" s="30"/>
      <c r="GP232" s="30"/>
      <c r="GQ232" s="30"/>
      <c r="GR232" s="30"/>
      <c r="GS232" s="30"/>
      <c r="GT232" s="30"/>
      <c r="GU232" s="30"/>
      <c r="GV232" s="30"/>
      <c r="GW232" s="30"/>
      <c r="GX232" s="30"/>
      <c r="GY232" s="30"/>
      <c r="GZ232" s="30"/>
      <c r="HA232" s="30"/>
      <c r="HB232" s="30"/>
      <c r="HC232" s="30"/>
      <c r="HD232" s="30"/>
      <c r="HE232" s="30"/>
    </row>
  </sheetData>
  <conditionalFormatting sqref="B48:B107">
    <cfRule type="colorScale" priority="1">
      <colorScale>
        <cfvo type="min"/>
        <cfvo type="max"/>
        <color rgb="FFFFFFFF"/>
        <color rgb="FF57BB8A"/>
      </colorScale>
    </cfRule>
  </conditionalFormatting>
  <conditionalFormatting sqref="B173:B232">
    <cfRule type="colorScale" priority="2">
      <colorScale>
        <cfvo type="min"/>
        <cfvo type="max"/>
        <color rgb="FFFFFFFF"/>
        <color rgb="FF57BB8A"/>
      </colorScale>
    </cfRule>
  </conditionalFormatting>
  <drawing r:id="rId1"/>
</worksheet>
</file>